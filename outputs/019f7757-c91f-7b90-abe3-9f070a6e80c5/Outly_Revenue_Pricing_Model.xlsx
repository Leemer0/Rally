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0cff408d7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ronto Pilot" sheetId="1" r:id="R1c2699f5389647db"/>
  </x:sheets>
</x:workbook>
</file>

<file path=xl/comments1.xml><?xml version="1.0" encoding="utf-8"?>
<x:comments xmlns:x="http://schemas.openxmlformats.org/spreadsheetml/2006/main">
  <x:authors>
    <x:author>tc={2469C1EA-5E80-5C71-673C-331FF7AE63B4}</x:author>
    <x:author>tc={B33B1D34-275D-0949-7DA7-CAF4F468DE7F}</x:author>
    <x:author>tc={EF452703-765C-B535-18DF-A464E2960CDC}</x:author>
    <x:author>tc={1016D822-94C6-2355-CCD7-89BED5509256}</x:author>
    <x:author>tc={4D7A2B51-0B57-DCD2-2599-A58A7DCC1153}</x:author>
    <x:author>tc={879155DC-A230-0AA1-40C6-B8F1EA914208}</x:author>
  </x:authors>
  <x:commentList>
    <x:comment ref="D1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paid bar ramp of 5, 10 and 15 during the Toronto pilot | Owner: Outly | Date: 2026-07-18</x:t>
        </x:r>
      </x:text>
    </x:comment>
    <x:comment ref="D1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C$129 monthly pilot subscription price | Owner: Outly | Date: 2026-07-18</x:t>
        </x:r>
      </x:text>
    </x:comment>
    <x:comment ref="D14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Placeholder: partner economics are not modeled. Enter revenue only after pricing is decided | Owner: Outly | Date: 2026-07-18</x:t>
        </x:r>
      </x:text>
    </x:comment>
    <x:comment ref="D22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Placeholder: enter any direct cash cost associated with optional other revenue | Owner: Outly | Date: 2026-07-18</x:t>
        </x:r>
      </x:text>
    </x:comment>
    <x:comment ref="D2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Supabase Free assumed sufficient for the Toronto pilot; update only if limits or production requirements change | Date: 2026-07-18</x:t>
        </x:r>
      </x:text>
    </x:comment>
    <x:comment ref="D29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Estimate for getoutly.app and included GoDaddy email; replace with actual monthly equivalent | Date: 2026-07-18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&quot;C$&quot;#,##0;[Red](&quot;C$&quot;#,##0);-"/>
    <x:numFmt numFmtId="201" formatCode="#,##0;[Red](#,##0);-"/>
    <x:numFmt numFmtId="202" formatCode="0.0"/>
    <x:numFmt numFmtId="203" formatCode="0.0%;[Red](0.0%);-"/>
    <x:numFmt numFmtId="204" formatCode="&quot;C$&quot;#,##0.00;[Red](&quot;C$&quot;#,##0.00);-"/>
    <x:numFmt numFmtId="205" formatCode="0.0x"/>
  </x:numFmts>
  <x:fonts count="8">
    <x:font>
      <x:sz val="11"/>
      <x:name val="Carlito"/>
    </x:font>
    <x:font>
      <x:b/>
      <x:sz val="20"/>
      <x:color rgb="FFFFFFFF"/>
      <x:name val="Carlito"/>
    </x:font>
    <x:font>
      <x:i/>
      <x:sz val="9"/>
      <x:color rgb="FF5F686E"/>
      <x:name val="Carlito"/>
    </x:font>
    <x:font>
      <x:b/>
      <x:sz val="11"/>
      <x:color rgb="FFFFFFFF"/>
      <x:name val="Carlito"/>
    </x:font>
    <x:font>
      <x:b/>
      <x:sz val="20"/>
      <x:color rgb="FF0B0D0E"/>
      <x:name val="Carlito"/>
    </x:font>
    <x:font>
      <x:b/>
      <x:sz val="11"/>
      <x:color rgb="FF0B0D0E"/>
      <x:name val="Carlito"/>
    </x:font>
    <x:font>
      <x:sz val="11"/>
      <x:color rgb="FF0000FF"/>
      <x:name val="Carlito"/>
    </x:font>
    <x:font>
      <x:sz val="11"/>
      <x:color rgb="FF0B0D0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0D0E"/>
      </x:patternFill>
    </x:fill>
    <x:fill>
      <x:patternFill patternType="solid">
        <x:fgColor rgb="FF171A1C"/>
      </x:patternFill>
    </x:fill>
    <x:fill>
      <x:patternFill patternType="solid">
        <x:fgColor rgb="FFEDFFC1"/>
      </x:patternFill>
    </x:fill>
    <x:fill>
      <x:patternFill patternType="solid">
        <x:fgColor rgb="FFE7EAEC"/>
      </x:patternFill>
    </x:fill>
    <x:fill>
      <x:patternFill patternType="solid">
        <x:fgColor rgb="FFFFF4B8"/>
      </x:patternFill>
    </x:fill>
    <x:fill>
      <x:patternFill patternType="solid">
        <x:fgColor rgb="FFF7F8F8"/>
      </x:patternFill>
    </x:fill>
  </x:fills>
  <x:borders count="9">
    <x:border/>
    <x:border>
      <x:left style="thin">
        <x:color rgb="FFCBD1D5"/>
      </x:left>
      <x:top style="thin">
        <x:color rgb="FFCBD1D5"/>
      </x:top>
    </x:border>
    <x:border>
      <x:top style="thin">
        <x:color rgb="FFCBD1D5"/>
      </x:top>
    </x:border>
    <x:border>
      <x:right style="thin">
        <x:color rgb="FFCBD1D5"/>
      </x:right>
      <x:top style="thin">
        <x:color rgb="FFCBD1D5"/>
      </x:top>
    </x:border>
    <x:border>
      <x:left style="thin">
        <x:color rgb="FFCBD1D5"/>
      </x:left>
      <x:bottom style="thin">
        <x:color rgb="FFCBD1D5"/>
      </x:bottom>
    </x:border>
    <x:border>
      <x:bottom style="thin">
        <x:color rgb="FFCBD1D5"/>
      </x:bottom>
    </x:border>
    <x:border>
      <x:right style="thin">
        <x:color rgb="FFCBD1D5"/>
      </x:right>
      <x:bottom style="thin">
        <x:color rgb="FFCBD1D5"/>
      </x:bottom>
    </x:border>
    <x:border>
      <x:bottom style="thin">
        <x:color rgb="FF0B0D0E"/>
      </x:bottom>
    </x:border>
    <x:border>
      <x:top style="thin">
        <x:color rgb="FF0B0D0E"/>
      </x:top>
    </x:border>
  </x:borders>
  <x:cellStyleXfs count="1">
    <x:xf numFmtId="0" fontId="0" fillId="0" borderId="0"/>
  </x:cellStyleXfs>
  <x:cellXfs count="1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200" fontId="4" fillId="4" borderId="1" xfId="0" applyNumberFormat="1" applyFont="1" applyFill="1" applyBorder="1"/>
    <x:xf numFmtId="200" fontId="4" fillId="4" borderId="2" xfId="0" applyNumberFormat="1" applyFont="1" applyFill="1" applyBorder="1"/>
    <x:xf numFmtId="200" fontId="4" fillId="4" borderId="3" xfId="0" applyNumberFormat="1" applyFont="1" applyFill="1" applyBorder="1"/>
    <x:xf numFmtId="200" fontId="4" fillId="4" borderId="4" xfId="0" applyNumberFormat="1" applyFont="1" applyFill="1" applyBorder="1"/>
    <x:xf numFmtId="200" fontId="4" fillId="4" borderId="5" xfId="0" applyNumberFormat="1" applyFont="1" applyFill="1" applyBorder="1"/>
    <x:xf numFmtId="200" fontId="4" fillId="4" borderId="6" xfId="0" applyNumberFormat="1" applyFont="1" applyFill="1" applyBorder="1"/>
    <x:xf numFmtId="200" fontId="4" fillId="4" borderId="1" xfId="0" applyNumberFormat="1" applyFont="1" applyFill="1" applyBorder="1" applyAlignment="1">
      <x:alignment horizontal="center"/>
    </x:xf>
    <x:xf numFmtId="200" fontId="4" fillId="4" borderId="2" xfId="0" applyNumberFormat="1" applyFont="1" applyFill="1" applyBorder="1" applyAlignment="1">
      <x:alignment horizontal="center"/>
    </x:xf>
    <x:xf numFmtId="200" fontId="4" fillId="4" borderId="3" xfId="0" applyNumberFormat="1" applyFont="1" applyFill="1" applyBorder="1" applyAlignment="1">
      <x:alignment horizontal="center"/>
    </x:xf>
    <x:xf numFmtId="200" fontId="4" fillId="4" borderId="4" xfId="0" applyNumberFormat="1" applyFont="1" applyFill="1" applyBorder="1" applyAlignment="1">
      <x:alignment horizontal="center"/>
    </x:xf>
    <x:xf numFmtId="200" fontId="4" fillId="4" borderId="5" xfId="0" applyNumberFormat="1" applyFont="1" applyFill="1" applyBorder="1" applyAlignment="1">
      <x:alignment horizontal="center"/>
    </x:xf>
    <x:xf numFmtId="200" fontId="4" fillId="4" borderId="6" xfId="0" applyNumberFormat="1" applyFont="1" applyFill="1" applyBorder="1" applyAlignment="1">
      <x:alignment horizontal="center"/>
    </x:xf>
    <x:xf numFmtId="200" fontId="4" fillId="4" borderId="1" xfId="0" applyNumberFormat="1" applyFont="1" applyFill="1" applyBorder="1" applyAlignment="1">
      <x:alignment horizontal="center" vertical="center"/>
    </x:xf>
    <x:xf numFmtId="200" fontId="4" fillId="4" borderId="2" xfId="0" applyNumberFormat="1" applyFont="1" applyFill="1" applyBorder="1" applyAlignment="1">
      <x:alignment horizontal="center" vertical="center"/>
    </x:xf>
    <x:xf numFmtId="200" fontId="4" fillId="4" borderId="3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center" vertical="center"/>
    </x:xf>
    <x:xf numFmtId="200" fontId="4" fillId="4" borderId="5" xfId="0" applyNumberFormat="1" applyFont="1" applyFill="1" applyBorder="1" applyAlignment="1">
      <x:alignment horizontal="center" vertical="center"/>
    </x:xf>
    <x:xf numFmtId="200" fontId="4" fillId="4" borderId="6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7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8" xfId="0" applyNumberFormat="1" applyFont="1" applyFill="1" applyBorder="1"/>
    <x:xf numFmtId="0" fontId="7" fillId="0" borderId="0" xfId="0" applyNumberFormat="1" applyFont="1" applyFill="1" applyBorder="1"/>
    <x:xf numFmtId="0" fontId="7" fillId="6" borderId="0" xfId="0" applyNumberFormat="1" applyFont="1" applyFill="1" applyBorder="1"/>
    <x:xf numFmtId="200" fontId="0" fillId="0" borderId="0" xfId="0" applyNumberFormat="1" applyFont="1" applyFill="1" applyBorder="1"/>
    <x:xf numFmtId="200" fontId="6" fillId="6" borderId="0" xfId="0" applyNumberFormat="1" applyFont="1" applyFill="1" applyBorder="1"/>
    <x:xf numFmtId="200" fontId="7" fillId="0" borderId="0" xfId="0" applyNumberFormat="1" applyFont="1" applyFill="1" applyBorder="1"/>
    <x:xf numFmtId="200" fontId="7" fillId="6" borderId="0" xfId="0" applyNumberFormat="1" applyFont="1" applyFill="1" applyBorder="1"/>
    <x:xf numFmtId="200" fontId="5" fillId="0" borderId="8" xfId="0" applyNumberFormat="1" applyFont="1" applyFill="1" applyBorder="1"/>
    <x:xf numFmtId="201" fontId="6" fillId="6" borderId="0" xfId="0" applyNumberFormat="1" applyFont="1" applyFill="1" applyBorder="1"/>
    <x:xf numFmtId="201" fontId="0" fillId="0" borderId="0" xfId="0" applyNumberFormat="1" applyFont="1" applyFill="1" applyBorder="1"/>
    <x:xf numFmtId="201" fontId="7" fillId="6" borderId="0" xfId="0" applyNumberFormat="1" applyFont="1" applyFill="1" applyBorder="1"/>
    <x:xf numFmtId="201" fontId="7" fillId="0" borderId="0" xfId="0" applyNumberFormat="1" applyFont="1" applyFill="1" applyBorder="1"/>
    <x:xf numFmtId="202" fontId="6" fillId="6" borderId="0" xfId="0" applyNumberFormat="1" applyFont="1" applyFill="1" applyBorder="1"/>
    <x:xf numFmtId="202" fontId="0" fillId="0" borderId="0" xfId="0" applyNumberFormat="1" applyFont="1" applyFill="1" applyBorder="1"/>
    <x:xf numFmtId="203" fontId="7" fillId="0" borderId="0" xfId="0" applyNumberFormat="1" applyFont="1" applyFill="1" applyBorder="1"/>
    <x:xf numFmtId="200" fontId="5" fillId="0" borderId="0" xfId="0" applyNumberFormat="1" applyFont="1" applyFill="1" applyBorder="1"/>
    <x:xf numFmtId="200" fontId="0" fillId="4" borderId="0" xfId="0" applyNumberFormat="1" applyFont="1" applyFill="1" applyBorder="1"/>
    <x:xf numFmtId="200" fontId="5" fillId="4" borderId="0" xfId="0" applyNumberFormat="1" applyFont="1" applyFill="1" applyBorder="1"/>
    <x:xf numFmtId="204" fontId="6" fillId="6" borderId="0" xfId="0" applyNumberFormat="1" applyFont="1" applyFill="1" applyBorder="1"/>
    <x:xf numFmtId="203" fontId="6" fillId="6" borderId="0" xfId="0" applyNumberFormat="1" applyFont="1" applyFill="1" applyBorder="1"/>
    <x:xf numFmtId="204" fontId="0" fillId="0" borderId="0" xfId="0" applyNumberFormat="1" applyFont="1" applyFill="1" applyBorder="1"/>
    <x:xf numFmtId="203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6" fillId="6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0" fontId="6" fillId="6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1" fontId="7" fillId="6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0" fontId="7" fillId="6" borderId="0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2" fontId="6" fillId="6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04" fontId="6" fillId="6" borderId="0" xfId="0" applyNumberFormat="1" applyFont="1" applyFill="1" applyBorder="1" applyAlignment="1">
      <x:alignment vertical="center"/>
    </x:xf>
    <x:xf numFmtId="203" fontId="6" fillId="6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4" fillId="4" borderId="1" xfId="0" applyNumberFormat="1" applyFont="1" applyFill="1" applyBorder="1" applyAlignment="1">
      <x:alignment horizontal="center" vertical="center" wrapText="1"/>
    </x:xf>
    <x:xf numFmtId="200" fontId="4" fillId="4" borderId="2" xfId="0" applyNumberFormat="1" applyFont="1" applyFill="1" applyBorder="1" applyAlignment="1">
      <x:alignment horizontal="center" vertical="center" wrapText="1"/>
    </x:xf>
    <x:xf numFmtId="200" fontId="4" fillId="4" borderId="3" xfId="0" applyNumberFormat="1" applyFont="1" applyFill="1" applyBorder="1" applyAlignment="1">
      <x:alignment horizontal="center" vertical="center" wrapText="1"/>
    </x:xf>
    <x:xf numFmtId="200" fontId="4" fillId="4" borderId="4" xfId="0" applyNumberFormat="1" applyFont="1" applyFill="1" applyBorder="1" applyAlignment="1">
      <x:alignment horizontal="center" vertical="center" wrapText="1"/>
    </x:xf>
    <x:xf numFmtId="200" fontId="4" fillId="4" borderId="5" xfId="0" applyNumberFormat="1" applyFont="1" applyFill="1" applyBorder="1" applyAlignment="1">
      <x:alignment horizontal="center" vertical="center" wrapText="1"/>
    </x:xf>
    <x:xf numFmtId="200" fontId="4" fillId="4" borderId="6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6" fillId="6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0" fontId="6" fillId="6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1" fontId="7" fillId="6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0" fontId="7" fillId="6" borderId="0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200" fontId="5" fillId="0" borderId="8" xfId="0" applyNumberFormat="1" applyFont="1" applyFill="1" applyBorder="1" applyAlignment="1">
      <x:alignment vertical="center" wrapText="1"/>
    </x:xf>
    <x:xf numFmtId="202" fontId="6" fillId="6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204" fontId="6" fillId="6" borderId="0" xfId="0" applyNumberFormat="1" applyFont="1" applyFill="1" applyBorder="1" applyAlignment="1">
      <x:alignment vertical="center" wrapText="1"/>
    </x:xf>
    <x:xf numFmtId="203" fontId="6" fillId="6" borderId="0" xfId="0" applyNumberFormat="1" applyFont="1" applyFill="1" applyBorder="1" applyAlignment="1">
      <x:alignment vertical="center" wrapText="1"/>
    </x:xf>
    <x:xf numFmtId="203" fontId="7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067647"/>
      </x:font>
      <x:fill>
        <x:patternFill patternType="solid">
          <x:bgColor rgb="FFD7F5DF"/>
        </x:patternFill>
      </x:fill>
    </x:dxf>
    <x:dxf>
      <x:font>
        <x:b/>
        <x:color rgb="FFD92D20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226922eb444637" /><Relationship Type="http://schemas.openxmlformats.org/officeDocument/2006/relationships/theme" Target="/xl/theme/theme1.xml" Id="R64b51ae992bd4fc2" /><Relationship Type="http://schemas.openxmlformats.org/officeDocument/2006/relationships/sharedStrings" Target="/xl/sharedStrings.xml" Id="R098cc22ad8ec4002" /><Relationship Type="http://schemas.openxmlformats.org/officeDocument/2006/relationships/worksheet" Target="/xl/worksheets/sheet1.xml" Id="R1c2699f5389647db" /><Relationship Type="http://schemas.microsoft.com/office/2017/10/relationships/person" Target="/xl/persons/person.xml" Id="Rde163861233f45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3bdbe175dc04e0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Toronto pilot subscription revenue and cash operating profit (CAD)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Subscription revenue</c:v>
          </c:tx>
          <c:cat>
            <c:strRef>
              <c:f>'Toronto Pilot'!$J$10:$J$12</c:f>
              <c:strCache>
                <c:ptCount val="0"/>
              </c:strCache>
            </c:strRef>
          </c:cat>
          <c:val>
            <c:numRef>
              <c:f>'Toronto Pilot'!$K$10:$K$12</c:f>
              <c:numCache>
                <c:formatCode>"C$"#,##0;[Red]("C$"#,##0);-</c:formatCode>
                <c:ptCount val="0"/>
              </c:numCache>
            </c:numRef>
          </c:val>
        </c:ser>
        <c:ser>
          <c:idx val="1"/>
          <c:order val="1"/>
          <c:tx>
            <c:v>Cash operating profit</c:v>
          </c:tx>
          <c:cat>
            <c:strRef>
              <c:f>'Toronto Pilot'!$J$10:$J$12</c:f>
              <c:strCache>
                <c:ptCount val="0"/>
              </c:strCache>
            </c:strRef>
          </c:cat>
          <c:val>
            <c:numRef>
              <c:f>'Toronto Pilot'!$L$10:$L$12</c:f>
              <c:numCache>
                <c:formatCode>"C$"#,##0;[Red]("C$"#,##0);-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C$&quot;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8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bdbe175dc04e05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utly" id="{7EA5E1B0-D21B-4E42-A93D-503D58F457C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10" dT="2026-07-18T23:42:27.53" personId="{7EA5E1B0-D21B-4E42-A93D-503D58F457CB}" id="{2469C1EA-5E80-5C71-673C-331FF7AE63B4}">
    <xltc:text>Assumption: paid bar ramp of 5, 10 and 15 during the Toronto pilot | Owner: Outly | Date: 2026-07-18</xltc:text>
  </xltc:threadedComment>
  <xltc:threadedComment ref="D11" dT="2026-07-18T23:42:27.53" personId="{7EA5E1B0-D21B-4E42-A93D-503D58F457CB}" id="{B33B1D34-275D-0949-7DA7-CAF4F468DE7F}">
    <xltc:text>Assumption: C$129 monthly pilot subscription price | Owner: Outly | Date: 2026-07-18</xltc:text>
  </xltc:threadedComment>
  <xltc:threadedComment ref="D14" dT="2026-07-18T23:42:27.53" personId="{7EA5E1B0-D21B-4E42-A93D-503D58F457CB}" id="{EF452703-765C-B535-18DF-A464E2960CDC}">
    <xltc:text>Placeholder: partner economics are not modeled. Enter revenue only after pricing is decided | Owner: Outly | Date: 2026-07-18</xltc:text>
  </xltc:threadedComment>
  <xltc:threadedComment ref="D22" dT="2026-07-18T23:42:27.53" personId="{7EA5E1B0-D21B-4E42-A93D-503D58F457CB}" id="{1016D822-94C6-2355-CCD7-89BED5509256}">
    <xltc:text>Placeholder: enter any direct cash cost associated with optional other revenue | Owner: Outly | Date: 2026-07-18</xltc:text>
  </xltc:threadedComment>
  <xltc:threadedComment ref="D26" dT="2026-07-18T23:42:27.53" personId="{7EA5E1B0-D21B-4E42-A93D-503D58F457CB}" id="{4D7A2B51-0B57-DCD2-2599-A58A7DCC1153}">
    <xltc:text>Supabase Free assumed sufficient for the Toronto pilot; update only if limits or production requirements change | Date: 2026-07-18</xltc:text>
  </xltc:threadedComment>
  <xltc:threadedComment ref="D29" dT="2026-07-18T23:42:27.53" personId="{7EA5E1B0-D21B-4E42-A93D-503D58F457CB}" id="{879155DC-A230-0AA1-40C6-B8F1EA914208}">
    <xltc:text>Estimate for getoutly.app and included GoDaddy email; replace with actual monthly equivalent | Date: 2026-07-18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5047b5abdb84c38" /><Relationship Type="http://schemas.openxmlformats.org/officeDocument/2006/relationships/vmlDrawing" Target="/xl/drawings/vmldrawing.vml" Id="R96202dead26a4ba0" /><Relationship Type="http://schemas.microsoft.com/office/2017/10/relationships/threadedComment" Target="/xl/threadedcomments/threadedcomment.xml" Id="Rf5096562346542a9" /><Relationship Type="http://schemas.openxmlformats.org/officeDocument/2006/relationships/drawing" Target="/xl/drawings/drawing1.xml" Id="Rf6998a8566a348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50" hidden="0" customWidth="1"/>
    <x:col min="9" max="9" width="4" hidden="0" customWidth="1"/>
    <x:col min="10" max="10" width="32" hidden="0" customWidth="1"/>
    <x:col min="11" max="11" width="17" hidden="0" customWidth="1"/>
    <x:col min="12" max="12" width="22" hidden="0" customWidth="1"/>
    <x:col min="13" max="13" width="40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4" customHeight="1">
      <x:c r="A1" s="94" t="str">
        <x:v>OUTLY — Toronto Subscription Pilot Model</x:v>
      </x:c>
      <x:c r="B1" s="94" t="str">
        <x:v>OUTLY — Toronto Subscription Pilot Model</x:v>
      </x:c>
      <x:c r="C1" s="94" t="str">
        <x:v>OUTLY — Toronto Subscription Pilot Model</x:v>
      </x:c>
      <x:c r="D1" s="94" t="str">
        <x:v>OUTLY — Toronto Subscription Pilot Model</x:v>
      </x:c>
      <x:c r="E1" s="94" t="str">
        <x:v>OUTLY — Toronto Subscription Pilot Model</x:v>
      </x:c>
      <x:c r="F1" s="94" t="str">
        <x:v>OUTLY — Toronto Subscription Pilot Model</x:v>
      </x:c>
      <x:c r="G1" s="94" t="str">
        <x:v>OUTLY — Toronto Subscription Pilot Model</x:v>
      </x:c>
      <x:c r="H1" s="94" t="str">
        <x:v>OUTLY — Toronto Subscription Pilot Model</x:v>
      </x:c>
      <x:c r="I1" s="94" t="str">
        <x:v>OUTLY — Toronto Subscription Pilot Model</x:v>
      </x:c>
      <x:c r="J1" s="94" t="str">
        <x:v>OUTLY — Toronto Subscription Pilot Model</x:v>
      </x:c>
      <x:c r="K1" s="94" t="str">
        <x:v>OUTLY — Toronto Subscription Pilot Model</x:v>
      </x:c>
      <x:c r="L1" s="94" t="str">
        <x:v>OUTLY — Toronto Subscription Pilot Model</x:v>
      </x:c>
      <x:c r="M1" s="94" t="str">
        <x:v>OUTLY — Toronto Subscription Pilot Model</x:v>
      </x:c>
      <x:c r="N1" s="94" t="str">
        <x:v>OUTLY — Toronto Subscription Pilot Model</x:v>
      </x:c>
      <x:c r="O1" s="94" t="str">
        <x:v>OUTLY — Toronto Subscription Pilot Model</x:v>
      </x:c>
      <x:c r="P1" s="94" t="str">
        <x:v>OUTLY — Toronto Subscription Pilot Model</x:v>
      </x:c>
      <x:c r="Q1" s="94" t="str">
        <x:v>OUTLY — Toronto Subscription Pilot Model</x:v>
      </x:c>
    </x:row>
    <x:row r="2">
      <x:c r="A2" s="70" t="str">
        <x:v>3-month Toronto pilot | CAD before HST and income tax | Cash-profit view | Yellow/blue cells are editable | Version 2.0 — 2026-07-18</x:v>
      </x:c>
      <x:c r="B2" s="70" t="str">
        <x:v>3-month Toronto pilot | CAD before HST and income tax | Cash-profit view | Yellow/blue cells are editable | Version 2.0 — 2026-07-18</x:v>
      </x:c>
      <x:c r="C2" s="70" t="str">
        <x:v>3-month Toronto pilot | CAD before HST and income tax | Cash-profit view | Yellow/blue cells are editable | Version 2.0 — 2026-07-18</x:v>
      </x:c>
      <x:c r="D2" s="70" t="str">
        <x:v>3-month Toronto pilot | CAD before HST and income tax | Cash-profit view | Yellow/blue cells are editable | Version 2.0 — 2026-07-18</x:v>
      </x:c>
      <x:c r="E2" s="70" t="str">
        <x:v>3-month Toronto pilot | CAD before HST and income tax | Cash-profit view | Yellow/blue cells are editable | Version 2.0 — 2026-07-18</x:v>
      </x:c>
      <x:c r="F2" s="70" t="str">
        <x:v>3-month Toronto pilot | CAD before HST and income tax | Cash-profit view | Yellow/blue cells are editable | Version 2.0 — 2026-07-18</x:v>
      </x:c>
      <x:c r="G2" s="70" t="str">
        <x:v>3-month Toronto pilot | CAD before HST and income tax | Cash-profit view | Yellow/blue cells are editable | Version 2.0 — 2026-07-18</x:v>
      </x:c>
      <x:c r="H2" s="70" t="str">
        <x:v>3-month Toronto pilot | CAD before HST and income tax | Cash-profit view | Yellow/blue cells are editable | Version 2.0 — 2026-07-18</x:v>
      </x:c>
      <x:c r="I2" s="70" t="str">
        <x:v>3-month Toronto pilot | CAD before HST and income tax | Cash-profit view | Yellow/blue cells are editable | Version 2.0 — 2026-07-18</x:v>
      </x:c>
      <x:c r="J2" s="70" t="str">
        <x:v>3-month Toronto pilot | CAD before HST and income tax | Cash-profit view | Yellow/blue cells are editable | Version 2.0 — 2026-07-18</x:v>
      </x:c>
      <x:c r="K2" s="70" t="str">
        <x:v>3-month Toronto pilot | CAD before HST and income tax | Cash-profit view | Yellow/blue cells are editable | Version 2.0 — 2026-07-18</x:v>
      </x:c>
      <x:c r="L2" s="70" t="str">
        <x:v>3-month Toronto pilot | CAD before HST and income tax | Cash-profit view | Yellow/blue cells are editable | Version 2.0 — 2026-07-18</x:v>
      </x:c>
      <x:c r="M2" s="70" t="str">
        <x:v>3-month Toronto pilot | CAD before HST and income tax | Cash-profit view | Yellow/blue cells are editable | Version 2.0 — 2026-07-18</x:v>
      </x:c>
      <x:c r="N2" s="70" t="str">
        <x:v>3-month Toronto pilot | CAD before HST and income tax | Cash-profit view | Yellow/blue cells are editable | Version 2.0 — 2026-07-18</x:v>
      </x:c>
      <x:c r="O2" s="70" t="str">
        <x:v>3-month Toronto pilot | CAD before HST and income tax | Cash-profit view | Yellow/blue cells are editable | Version 2.0 — 2026-07-18</x:v>
      </x:c>
      <x:c r="P2" s="70" t="str">
        <x:v>3-month Toronto pilot | CAD before HST and income tax | Cash-profit view | Yellow/blue cells are editable | Version 2.0 — 2026-07-18</x:v>
      </x:c>
      <x:c r="Q2" s="70" t="str">
        <x:v>3-month Toronto pilot | CAD before HST and income tax | Cash-profit view | Yellow/blue cells are editable | Version 2.0 — 2026-07-18</x:v>
      </x:c>
    </x:row>
    <x:row r="3">
      <x:c r="A3" s="95"/>
      <x:c r="B3" s="95"/>
      <x:c r="C3" s="95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</x:row>
    <x:row r="4" ht="22" customHeight="1">
      <x:c r="A4" s="96" t="str">
        <x:v>SUBSCRIPTION REVENUE</x:v>
      </x:c>
      <x:c r="B4" s="96" t="str">
        <x:v>SUBSCRIPTION REVENUE</x:v>
      </x:c>
      <x:c r="C4" s="96" t="str">
        <x:v>SUBSCRIPTION REVENUE</x:v>
      </x:c>
      <x:c r="D4" s="96" t="str">
        <x:v>SUBSCRIPTION REVENUE</x:v>
      </x:c>
      <x:c r="E4" s="96" t="str">
        <x:v>CASH OPERATING PROFIT</x:v>
      </x:c>
      <x:c r="F4" s="96" t="str">
        <x:v>CASH OPERATING PROFIT</x:v>
      </x:c>
      <x:c r="G4" s="96" t="str">
        <x:v>CASH OPERATING PROFIT</x:v>
      </x:c>
      <x:c r="H4" s="96" t="str">
        <x:v>CASH OPERATING PROFIT</x:v>
      </x:c>
      <x:c r="I4" s="96" t="str">
        <x:v>FUTURE OTHER REVENUE</x:v>
      </x:c>
      <x:c r="J4" s="96" t="str">
        <x:v>FUTURE OTHER REVENUE</x:v>
      </x:c>
      <x:c r="K4" s="96" t="str">
        <x:v>FUTURE OTHER REVENUE</x:v>
      </x:c>
      <x:c r="L4" s="96" t="str">
        <x:v>FUTURE OTHER REVENUE</x:v>
      </x:c>
      <x:c r="M4" s="96" t="str">
        <x:v>MAXIMUM FUNDING REQUIRED</x:v>
      </x:c>
      <x:c r="N4" s="96" t="str">
        <x:v>MAXIMUM FUNDING REQUIRED</x:v>
      </x:c>
      <x:c r="O4" s="96" t="str">
        <x:v>MAXIMUM FUNDING REQUIRED</x:v>
      </x:c>
      <x:c r="P4" s="96" t="str">
        <x:v>MAXIMUM FUNDING REQUIRED</x:v>
      </x:c>
      <x:c r="Q4" s="96" t="str">
        <x:v>MAXIMUM FUNDING REQUIRED</x:v>
      </x:c>
    </x:row>
    <x:row r="5">
      <x:c r="A5" s="97" t="n">
        <x:f>G12</x:f>
        <x:v>3870</x:v>
      </x:c>
      <x:c r="B5" s="98"/>
      <x:c r="C5" s="98"/>
      <x:c r="D5" s="99"/>
      <x:c r="E5" s="97" t="n">
        <x:f>G38</x:f>
        <x:v>3490.68</x:v>
      </x:c>
      <x:c r="F5" s="98"/>
      <x:c r="G5" s="98"/>
      <x:c r="H5" s="99"/>
      <x:c r="I5" s="97" t="n">
        <x:f>G14</x:f>
        <x:v>0</x:v>
      </x:c>
      <x:c r="J5" s="98"/>
      <x:c r="K5" s="98"/>
      <x:c r="L5" s="99"/>
      <x:c r="M5" s="97" t="n">
        <x:f>G55</x:f>
        <x:v>0</x:v>
      </x:c>
      <x:c r="N5" s="98"/>
      <x:c r="O5" s="98"/>
      <x:c r="P5" s="98"/>
      <x:c r="Q5" s="99"/>
    </x:row>
    <x:row r="6">
      <x:c r="A6" s="100"/>
      <x:c r="B6" s="101"/>
      <x:c r="C6" s="101"/>
      <x:c r="D6" s="102"/>
      <x:c r="E6" s="100"/>
      <x:c r="F6" s="101"/>
      <x:c r="G6" s="101"/>
      <x:c r="H6" s="102"/>
      <x:c r="I6" s="100"/>
      <x:c r="J6" s="101"/>
      <x:c r="K6" s="101"/>
      <x:c r="L6" s="102"/>
      <x:c r="M6" s="100"/>
      <x:c r="N6" s="101"/>
      <x:c r="O6" s="101"/>
      <x:c r="P6" s="101"/>
      <x:c r="Q6" s="102"/>
    </x:row>
    <x:row r="7">
      <x:c r="A7" s="95"/>
      <x:c r="B7" s="95"/>
      <x:c r="C7" s="95"/>
      <x:c r="D7" s="95"/>
      <x:c r="E7" s="95"/>
      <x:c r="F7" s="95"/>
      <x:c r="G7" s="95"/>
      <x:c r="H7" s="95"/>
      <x:c r="I7" s="95"/>
      <x:c r="J7" s="95"/>
      <x:c r="K7" s="95"/>
      <x:c r="L7" s="95"/>
      <x:c r="M7" s="95"/>
      <x:c r="N7" s="95"/>
      <x:c r="O7" s="95"/>
      <x:c r="P7" s="95"/>
      <x:c r="Q7" s="95"/>
    </x:row>
    <x:row r="8" ht="22" customHeight="1">
      <x:c r="A8" s="103" t="str">
        <x:v>Subscription revenue and pilot profit</x:v>
      </x:c>
      <x:c r="B8" s="103" t="str">
        <x:v>Subscription revenue and pilot profit</x:v>
      </x:c>
      <x:c r="C8" s="103" t="str">
        <x:v>Subscription revenue and pilot profit</x:v>
      </x:c>
      <x:c r="D8" s="103" t="str">
        <x:v>Subscription revenue and pilot profit</x:v>
      </x:c>
      <x:c r="E8" s="103" t="str">
        <x:v>Subscription revenue and pilot profit</x:v>
      </x:c>
      <x:c r="F8" s="103" t="str">
        <x:v>Subscription revenue and pilot profit</x:v>
      </x:c>
      <x:c r="G8" s="103" t="str">
        <x:v>Subscription revenue and pilot profit</x:v>
      </x:c>
      <x:c r="H8" s="103" t="str">
        <x:v>Subscription revenue and pilot profit</x:v>
      </x:c>
      <x:c r="I8" s="95"/>
      <x:c r="J8" s="95"/>
      <x:c r="K8" s="95"/>
      <x:c r="L8" s="95"/>
      <x:c r="M8" s="95"/>
      <x:c r="N8" s="95"/>
      <x:c r="O8" s="95"/>
      <x:c r="P8" s="95"/>
      <x:c r="Q8" s="95"/>
    </x:row>
    <x:row r="9">
      <x:c r="A9" s="40" t="str">
        <x:v>Metric</x:v>
      </x:c>
      <x:c r="B9" s="40" t="str">
        <x:v>Unit</x:v>
      </x:c>
      <x:c r="C9" s="40" t="str">
        <x:v>Pre-launch</x:v>
      </x:c>
      <x:c r="D9" s="40" t="str">
        <x:v>Month 1</x:v>
      </x:c>
      <x:c r="E9" s="40" t="str">
        <x:v>Month 2</x:v>
      </x:c>
      <x:c r="F9" s="40" t="str">
        <x:v>Month 3</x:v>
      </x:c>
      <x:c r="G9" s="40" t="str">
        <x:v>Pilot total</x:v>
      </x:c>
      <x:c r="H9" s="40" t="str">
        <x:v>Notes</x:v>
      </x:c>
      <x:c r="I9" s="95"/>
      <x:c r="J9" s="40" t="str">
        <x:v>Month</x:v>
      </x:c>
      <x:c r="K9" s="40" t="str">
        <x:v>Subscription revenue</x:v>
      </x:c>
      <x:c r="L9" s="40" t="str">
        <x:v>Cash operating profit</x:v>
      </x:c>
      <x:c r="M9" s="95"/>
      <x:c r="N9" s="95"/>
      <x:c r="O9" s="95"/>
      <x:c r="P9" s="95"/>
      <x:c r="Q9" s="95"/>
    </x:row>
    <x:row r="10" ht="30" customHeight="1">
      <x:c r="A10" s="95" t="str">
        <x:v>Paid bars</x:v>
      </x:c>
      <x:c r="B10" s="95" t="str">
        <x:v>bars</x:v>
      </x:c>
      <x:c r="C10" s="104" t="n">
        <x:v>0</x:v>
      </x:c>
      <x:c r="D10" s="105" t="n">
        <x:v>5</x:v>
      </x:c>
      <x:c r="E10" s="105" t="n">
        <x:v>10</x:v>
      </x:c>
      <x:c r="F10" s="105" t="n">
        <x:v>15</x:v>
      </x:c>
      <x:c r="G10" s="106" t="n">
        <x:f>SUM(D10:F10)</x:f>
        <x:v>30</x:v>
      </x:c>
      <x:c r="H10" s="95" t="str">
        <x:v>Editable paid-bar ramp</x:v>
      </x:c>
      <x:c r="I10" s="95"/>
      <x:c r="J10" s="95" t="str">
        <x:v>Month 1</x:v>
      </x:c>
      <x:c r="K10" s="104" t="n">
        <x:f>D12</x:f>
        <x:v>645</x:v>
      </x:c>
      <x:c r="L10" s="104" t="n">
        <x:f>D38</x:f>
        <x:v>573.28</x:v>
      </x:c>
      <x:c r="M10" s="95"/>
      <x:c r="N10" s="95"/>
      <x:c r="O10" s="95"/>
      <x:c r="P10" s="95"/>
      <x:c r="Q10" s="95"/>
    </x:row>
    <x:row r="11" ht="30" customHeight="1">
      <x:c r="A11" s="95" t="str">
        <x:v>Pilot subscription price</x:v>
      </x:c>
      <x:c r="B11" s="95" t="str">
        <x:v>CAD / bar / month</x:v>
      </x:c>
      <x:c r="C11" s="104" t="n">
        <x:v>0</x:v>
      </x:c>
      <x:c r="D11" s="107" t="n">
        <x:v>129</x:v>
      </x:c>
      <x:c r="E11" s="107" t="n">
        <x:v>129</x:v>
      </x:c>
      <x:c r="F11" s="107" t="n">
        <x:v>129</x:v>
      </x:c>
      <x:c r="G11" s="104" t="n">
        <x:f>AVERAGE(D11:F11)</x:f>
        <x:v>129</x:v>
      </x:c>
      <x:c r="H11" s="95" t="str">
        <x:v>Editable 90-day pilot price</x:v>
      </x:c>
      <x:c r="I11" s="95"/>
      <x:c r="J11" s="95" t="str">
        <x:v>Month 2</x:v>
      </x:c>
      <x:c r="K11" s="104" t="n">
        <x:f>E12</x:f>
        <x:v>1290</x:v>
      </x:c>
      <x:c r="L11" s="104" t="n">
        <x:f>E38</x:f>
        <x:v>1163.56</x:v>
      </x:c>
      <x:c r="M11" s="95"/>
      <x:c r="N11" s="95"/>
      <x:c r="O11" s="95"/>
      <x:c r="P11" s="95"/>
      <x:c r="Q11" s="95"/>
    </x:row>
    <x:row r="12" ht="30" customHeight="1">
      <x:c r="A12" s="95" t="str">
        <x:v>Subscription revenue</x:v>
      </x:c>
      <x:c r="B12" s="95" t="str">
        <x:v>CAD</x:v>
      </x:c>
      <x:c r="C12" s="104" t="n">
        <x:v>0</x:v>
      </x:c>
      <x:c r="D12" s="108" t="n">
        <x:f>D10*D11</x:f>
        <x:v>645</x:v>
      </x:c>
      <x:c r="E12" s="108" t="n">
        <x:f>E10*E11</x:f>
        <x:v>1290</x:v>
      </x:c>
      <x:c r="F12" s="108" t="n">
        <x:f>F10*F11</x:f>
        <x:v>1935</x:v>
      </x:c>
      <x:c r="G12" s="108" t="n">
        <x:f>SUM(D12:F12)</x:f>
        <x:v>3870</x:v>
      </x:c>
      <x:c r="H12" s="95" t="str">
        <x:v>Paid bars × subscription price</x:v>
      </x:c>
      <x:c r="I12" s="95"/>
      <x:c r="J12" s="95" t="str">
        <x:v>Month 3</x:v>
      </x:c>
      <x:c r="K12" s="104" t="n">
        <x:f>F12</x:f>
        <x:v>1935</x:v>
      </x:c>
      <x:c r="L12" s="104" t="n">
        <x:f>F38</x:f>
        <x:v>1753.84</x:v>
      </x:c>
      <x:c r="M12" s="95"/>
      <x:c r="N12" s="95"/>
      <x:c r="O12" s="95"/>
      <x:c r="P12" s="95"/>
      <x:c r="Q12" s="95"/>
    </x:row>
    <x:row r="13" ht="30" customHeight="1">
      <x:c r="A13" s="95" t="str">
        <x:v>Free bar listings</x:v>
      </x:c>
      <x:c r="B13" s="95" t="str">
        <x:v>bars</x:v>
      </x:c>
      <x:c r="C13" s="104" t="n">
        <x:v>0</x:v>
      </x:c>
      <x:c r="D13" s="109" t="n">
        <x:v>10</x:v>
      </x:c>
      <x:c r="E13" s="109" t="n">
        <x:v>20</x:v>
      </x:c>
      <x:c r="F13" s="109" t="n">
        <x:v>30</x:v>
      </x:c>
      <x:c r="G13" s="110" t="n">
        <x:f>SUM(D13:F13)</x:f>
        <x:v>60</x:v>
      </x:c>
      <x:c r="H13" s="95" t="str">
        <x:v>Editable free listing ramp</x:v>
      </x:c>
      <x:c r="I13" s="95"/>
      <x:c r="J13" s="95"/>
      <x:c r="K13" s="95"/>
      <x:c r="L13" s="95"/>
      <x:c r="M13" s="95"/>
      <x:c r="N13" s="95"/>
      <x:c r="O13" s="95"/>
      <x:c r="P13" s="95"/>
      <x:c r="Q13" s="95"/>
    </x:row>
    <x:row r="14" ht="30" customHeight="1">
      <x:c r="A14" s="95" t="str">
        <x:v>Future partner / other revenue</x:v>
      </x:c>
      <x:c r="B14" s="95" t="str">
        <x:v>CAD</x:v>
      </x:c>
      <x:c r="C14" s="104" t="n">
        <x:v>0</x:v>
      </x:c>
      <x:c r="D14" s="111" t="n">
        <x:v>0</x:v>
      </x:c>
      <x:c r="E14" s="111" t="n">
        <x:v>0</x:v>
      </x:c>
      <x:c r="F14" s="111" t="n">
        <x:v>0</x:v>
      </x:c>
      <x:c r="G14" s="108" t="n">
        <x:f>SUM(D14:F14)</x:f>
        <x:v>0</x:v>
      </x:c>
      <x:c r="H14" s="95" t="str">
        <x:v>Placeholder only; leave at zero until partner economics are decided</x:v>
      </x:c>
      <x:c r="I14" s="95"/>
      <x:c r="J14" s="95"/>
      <x:c r="K14" s="95"/>
      <x:c r="L14" s="95"/>
      <x:c r="M14" s="95"/>
      <x:c r="N14" s="95"/>
      <x:c r="O14" s="95"/>
      <x:c r="P14" s="95"/>
      <x:c r="Q14" s="95"/>
    </x:row>
    <x:row r="15" ht="30" customHeight="1">
      <x:c r="A15" s="112" t="str">
        <x:v>Total revenue</x:v>
      </x:c>
      <x:c r="B15" s="112" t="str">
        <x:v>CAD</x:v>
      </x:c>
      <x:c r="C15" s="113" t="n">
        <x:v>0</x:v>
      </x:c>
      <x:c r="D15" s="113" t="n">
        <x:f>D12+D14</x:f>
        <x:v>645</x:v>
      </x:c>
      <x:c r="E15" s="113" t="n">
        <x:f>E12+E14</x:f>
        <x:v>1290</x:v>
      </x:c>
      <x:c r="F15" s="113" t="n">
        <x:f>F12+F14</x:f>
        <x:v>1935</x:v>
      </x:c>
      <x:c r="G15" s="113" t="n">
        <x:f>SUM(D15:F15)</x:f>
        <x:v>3870</x:v>
      </x:c>
      <x:c r="H15" s="95" t="str">
        <x:v>Subscription plus optional other revenue</x:v>
      </x:c>
      <x:c r="I15" s="95"/>
      <x:c r="J15" s="95"/>
      <x:c r="K15" s="95"/>
      <x:c r="L15" s="95"/>
      <x:c r="M15" s="95"/>
      <x:c r="N15" s="95"/>
      <x:c r="O15" s="95"/>
      <x:c r="P15" s="95"/>
      <x:c r="Q15" s="95"/>
    </x:row>
    <x:row r="16" ht="30" customHeight="1">
      <x:c r="A16" s="95"/>
      <x:c r="B16" s="95"/>
      <x:c r="C16" s="104"/>
      <x:c r="D16" s="104"/>
      <x:c r="E16" s="104"/>
      <x:c r="F16" s="104"/>
      <x:c r="G16" s="104"/>
      <x:c r="H16" s="95"/>
      <x:c r="I16" s="95"/>
      <x:c r="J16" s="95"/>
      <x:c r="K16" s="95"/>
      <x:c r="L16" s="95"/>
      <x:c r="M16" s="95"/>
      <x:c r="N16" s="95"/>
      <x:c r="O16" s="95"/>
      <x:c r="P16" s="95"/>
      <x:c r="Q16" s="95"/>
    </x:row>
    <x:row r="17" ht="30" customHeight="1">
      <x:c r="A17" s="95" t="str">
        <x:v>Support hours per paid bar</x:v>
      </x:c>
      <x:c r="B17" s="95" t="str">
        <x:v>hours / paid bar</x:v>
      </x:c>
      <x:c r="C17" s="104" t="n">
        <x:v>0</x:v>
      </x:c>
      <x:c r="D17" s="114" t="n">
        <x:v>1</x:v>
      </x:c>
      <x:c r="E17" s="114" t="n">
        <x:v>1</x:v>
      </x:c>
      <x:c r="F17" s="114" t="n">
        <x:v>1</x:v>
      </x:c>
      <x:c r="G17" s="115" t="n">
        <x:f>AVERAGE(D17:F17)</x:f>
        <x:v>1</x:v>
      </x:c>
      <x:c r="H17" s="95" t="str">
        <x:v>Time estimate</x:v>
      </x:c>
      <x:c r="I17" s="95"/>
      <x:c r="J17" s="95"/>
      <x:c r="K17" s="95"/>
      <x:c r="L17" s="95"/>
      <x:c r="M17" s="95"/>
      <x:c r="N17" s="95"/>
      <x:c r="O17" s="95"/>
      <x:c r="P17" s="95"/>
      <x:c r="Q17" s="95"/>
    </x:row>
    <x:row r="18" ht="30" customHeight="1">
      <x:c r="A18" s="95" t="str">
        <x:v>Cash support cost per hour</x:v>
      </x:c>
      <x:c r="B18" s="95" t="str">
        <x:v>CAD / hour</x:v>
      </x:c>
      <x:c r="C18" s="104" t="n">
        <x:v>0</x:v>
      </x:c>
      <x:c r="D18" s="107" t="n">
        <x:v>0</x:v>
      </x:c>
      <x:c r="E18" s="107" t="n">
        <x:v>0</x:v>
      </x:c>
      <x:c r="F18" s="107" t="n">
        <x:v>0</x:v>
      </x:c>
      <x:c r="G18" s="104" t="n">
        <x:f>AVERAGE(D18:F18)</x:f>
        <x:v>0</x:v>
      </x:c>
      <x:c r="H18" s="95" t="str">
        <x:v>Zero while founder-delivered; enter a paid cash rate later</x:v>
      </x:c>
      <x:c r="I18" s="95"/>
      <x:c r="J18" s="95"/>
      <x:c r="K18" s="95"/>
      <x:c r="L18" s="95"/>
      <x:c r="M18" s="95"/>
      <x:c r="N18" s="95"/>
      <x:c r="O18" s="95"/>
      <x:c r="P18" s="95"/>
      <x:c r="Q18" s="95"/>
    </x:row>
    <x:row r="19" ht="30" customHeight="1">
      <x:c r="A19" s="95" t="str">
        <x:v>Direct cost per paid bar</x:v>
      </x:c>
      <x:c r="B19" s="95" t="str">
        <x:v>CAD / paid bar</x:v>
      </x:c>
      <x:c r="C19" s="104" t="n">
        <x:v>0</x:v>
      </x:c>
      <x:c r="D19" s="108" t="n">
        <x:f>D17*D18+$K$32+D11*$K$34+$K$35</x:f>
        <x:v>8.943999999999999</x:v>
      </x:c>
      <x:c r="E19" s="108" t="n">
        <x:f>E17*E18+$K$32+E11*$K$34+$K$35</x:f>
        <x:v>8.943999999999999</x:v>
      </x:c>
      <x:c r="F19" s="108" t="n">
        <x:f>F17*F18+$K$32+F11*$K$34+$K$35</x:f>
        <x:v>8.943999999999999</x:v>
      </x:c>
      <x:c r="G19" s="108" t="n">
        <x:f>AVERAGE(D19:F19)</x:f>
        <x:v>8.943999999999999</x:v>
      </x:c>
      <x:c r="H19" s="95" t="str">
        <x:v>Support cash + technology + Stripe</x:v>
      </x:c>
      <x:c r="I19" s="95"/>
      <x:c r="J19" s="95"/>
      <x:c r="K19" s="95"/>
      <x:c r="L19" s="95"/>
      <x:c r="M19" s="95"/>
      <x:c r="N19" s="95"/>
      <x:c r="O19" s="95"/>
      <x:c r="P19" s="95"/>
      <x:c r="Q19" s="95"/>
    </x:row>
    <x:row r="20" ht="30" customHeight="1">
      <x:c r="A20" s="95" t="str">
        <x:v>Paid-bar direct cost</x:v>
      </x:c>
      <x:c r="B20" s="95" t="str">
        <x:v>CAD</x:v>
      </x:c>
      <x:c r="C20" s="104" t="n">
        <x:v>0</x:v>
      </x:c>
      <x:c r="D20" s="108" t="n">
        <x:f>D10*D19</x:f>
        <x:v>44.72</x:v>
      </x:c>
      <x:c r="E20" s="108" t="n">
        <x:f>E10*E19</x:f>
        <x:v>89.44</x:v>
      </x:c>
      <x:c r="F20" s="108" t="n">
        <x:f>F10*F19</x:f>
        <x:v>134.16</x:v>
      </x:c>
      <x:c r="G20" s="108" t="n">
        <x:f>SUM(D20:F20)</x:f>
        <x:v>268.32</x:v>
      </x:c>
      <x:c r="H20" s="95" t="str">
        <x:v>Paid bars × direct cost per paid bar</x:v>
      </x:c>
      <x:c r="I20" s="95"/>
      <x:c r="J20" s="95"/>
      <x:c r="K20" s="95"/>
      <x:c r="L20" s="95"/>
      <x:c r="M20" s="95"/>
      <x:c r="N20" s="95"/>
      <x:c r="O20" s="95"/>
      <x:c r="P20" s="95"/>
      <x:c r="Q20" s="95"/>
    </x:row>
    <x:row r="21" ht="30" customHeight="1">
      <x:c r="A21" s="95" t="str">
        <x:v>Free-listing direct cost</x:v>
      </x:c>
      <x:c r="B21" s="95" t="str">
        <x:v>CAD</x:v>
      </x:c>
      <x:c r="C21" s="104" t="n">
        <x:v>0</x:v>
      </x:c>
      <x:c r="D21" s="108" t="n">
        <x:f>D13*$K$33</x:f>
        <x:v>10</x:v>
      </x:c>
      <x:c r="E21" s="108" t="n">
        <x:f>E13*$K$33</x:f>
        <x:v>20</x:v>
      </x:c>
      <x:c r="F21" s="108" t="n">
        <x:f>F13*$K$33</x:f>
        <x:v>30</x:v>
      </x:c>
      <x:c r="G21" s="108" t="n">
        <x:f>SUM(D21:F21)</x:f>
        <x:v>60</x:v>
      </x:c>
      <x:c r="H21" s="95" t="str">
        <x:v>Free listings × free-listing technology cost</x:v>
      </x:c>
      <x:c r="I21" s="95"/>
      <x:c r="J21" s="95"/>
      <x:c r="K21" s="95"/>
      <x:c r="L21" s="95"/>
      <x:c r="M21" s="95"/>
      <x:c r="N21" s="95"/>
      <x:c r="O21" s="95"/>
      <x:c r="P21" s="95"/>
      <x:c r="Q21" s="95"/>
    </x:row>
    <x:row r="22" ht="30" customHeight="1">
      <x:c r="A22" s="95" t="str">
        <x:v>Future partner / other direct cost</x:v>
      </x:c>
      <x:c r="B22" s="95" t="str">
        <x:v>CAD</x:v>
      </x:c>
      <x:c r="C22" s="104" t="n">
        <x:v>0</x:v>
      </x:c>
      <x:c r="D22" s="111" t="n">
        <x:v>0</x:v>
      </x:c>
      <x:c r="E22" s="111" t="n">
        <x:v>0</x:v>
      </x:c>
      <x:c r="F22" s="111" t="n">
        <x:v>0</x:v>
      </x:c>
      <x:c r="G22" s="108" t="n">
        <x:f>SUM(D22:F22)</x:f>
        <x:v>0</x:v>
      </x:c>
      <x:c r="H22" s="95" t="str">
        <x:v>Placeholder only; leave at zero until the model is decided</x:v>
      </x:c>
      <x:c r="I22" s="95"/>
      <x:c r="J22" s="95"/>
      <x:c r="K22" s="95"/>
      <x:c r="L22" s="95"/>
      <x:c r="M22" s="95"/>
      <x:c r="N22" s="95"/>
      <x:c r="O22" s="95"/>
      <x:c r="P22" s="95"/>
      <x:c r="Q22" s="95"/>
    </x:row>
    <x:row r="23" ht="30" customHeight="1">
      <x:c r="A23" s="112" t="str">
        <x:v>Total direct cost</x:v>
      </x:c>
      <x:c r="B23" s="112" t="str">
        <x:v>CAD</x:v>
      </x:c>
      <x:c r="C23" s="113" t="n">
        <x:v>0</x:v>
      </x:c>
      <x:c r="D23" s="113" t="n">
        <x:f>SUM(D20:D22)</x:f>
        <x:v>54.72</x:v>
      </x:c>
      <x:c r="E23" s="113" t="n">
        <x:f>SUM(E20:E22)</x:f>
        <x:v>109.44</x:v>
      </x:c>
      <x:c r="F23" s="113" t="n">
        <x:f>SUM(F20:F22)</x:f>
        <x:v>164.16</x:v>
      </x:c>
      <x:c r="G23" s="113" t="n">
        <x:f>SUM(D23:F23)</x:f>
        <x:v>328.32</x:v>
      </x:c>
      <x:c r="H23" s="95" t="str">
        <x:v>All direct cash costs</x:v>
      </x:c>
      <x:c r="I23" s="95"/>
      <x:c r="J23" s="95"/>
      <x:c r="K23" s="95"/>
      <x:c r="L23" s="95"/>
      <x:c r="M23" s="95"/>
      <x:c r="N23" s="95"/>
      <x:c r="O23" s="95"/>
      <x:c r="P23" s="95"/>
      <x:c r="Q23" s="95"/>
    </x:row>
    <x:row r="24" ht="30" customHeight="1">
      <x:c r="A24" s="112" t="str">
        <x:v>Gross profit</x:v>
      </x:c>
      <x:c r="B24" s="112" t="str">
        <x:v>CAD</x:v>
      </x:c>
      <x:c r="C24" s="113" t="n">
        <x:v>0</x:v>
      </x:c>
      <x:c r="D24" s="113" t="n">
        <x:f>D15-D23</x:f>
        <x:v>590.28</x:v>
      </x:c>
      <x:c r="E24" s="113" t="n">
        <x:f>E15-E23</x:f>
        <x:v>1180.56</x:v>
      </x:c>
      <x:c r="F24" s="113" t="n">
        <x:f>F15-F23</x:f>
        <x:v>1770.84</x:v>
      </x:c>
      <x:c r="G24" s="113" t="n">
        <x:f>SUM(D24:F24)</x:f>
        <x:v>3541.68</x:v>
      </x:c>
      <x:c r="H24" s="95" t="str">
        <x:v>Revenue less direct costs</x:v>
      </x:c>
      <x:c r="I24" s="95"/>
      <x:c r="J24" s="95"/>
      <x:c r="K24" s="95"/>
      <x:c r="L24" s="95"/>
      <x:c r="M24" s="95"/>
      <x:c r="N24" s="95"/>
      <x:c r="O24" s="95"/>
      <x:c r="P24" s="95"/>
      <x:c r="Q24" s="95"/>
    </x:row>
    <x:row r="25" ht="30" customHeight="1">
      <x:c r="A25" s="95"/>
      <x:c r="B25" s="95"/>
      <x:c r="C25" s="104"/>
      <x:c r="D25" s="104"/>
      <x:c r="E25" s="104"/>
      <x:c r="F25" s="104"/>
      <x:c r="G25" s="104"/>
      <x:c r="H25" s="95"/>
      <x:c r="I25" s="95"/>
      <x:c r="J25" s="95"/>
      <x:c r="K25" s="95"/>
      <x:c r="L25" s="95"/>
      <x:c r="M25" s="95"/>
      <x:c r="N25" s="95"/>
      <x:c r="O25" s="95"/>
      <x:c r="P25" s="95"/>
      <x:c r="Q25" s="95"/>
    </x:row>
    <x:row r="26" ht="30" customHeight="1">
      <x:c r="A26" s="95" t="str">
        <x:v>Supabase Free</x:v>
      </x:c>
      <x:c r="B26" s="95" t="str">
        <x:v>CAD / month</x:v>
      </x:c>
      <x:c r="C26" s="104" t="n">
        <x:v>0</x:v>
      </x:c>
      <x:c r="D26" s="107" t="n">
        <x:v>0</x:v>
      </x:c>
      <x:c r="E26" s="107" t="n">
        <x:v>0</x:v>
      </x:c>
      <x:c r="F26" s="107" t="n">
        <x:v>0</x:v>
      </x:c>
      <x:c r="G26" s="104" t="n">
        <x:f>SUM(D26:F26)</x:f>
        <x:v>0</x:v>
      </x:c>
      <x:c r="H26" s="95" t="str">
        <x:v>Free tier assumed sufficient for Toronto pilot</x:v>
      </x:c>
      <x:c r="I26" s="95"/>
      <x:c r="J26" s="95"/>
      <x:c r="K26" s="95"/>
      <x:c r="L26" s="95"/>
      <x:c r="M26" s="95"/>
      <x:c r="N26" s="95"/>
      <x:c r="O26" s="95"/>
      <x:c r="P26" s="95"/>
      <x:c r="Q26" s="95"/>
    </x:row>
    <x:row r="27" ht="30" customHeight="1">
      <x:c r="A27" s="95" t="str">
        <x:v>Cloudflare Pages Free</x:v>
      </x:c>
      <x:c r="B27" s="95" t="str">
        <x:v>CAD / month</x:v>
      </x:c>
      <x:c r="C27" s="104" t="n">
        <x:v>0</x:v>
      </x:c>
      <x:c r="D27" s="107" t="n">
        <x:v>0</x:v>
      </x:c>
      <x:c r="E27" s="107" t="n">
        <x:v>0</x:v>
      </x:c>
      <x:c r="F27" s="107" t="n">
        <x:v>0</x:v>
      </x:c>
      <x:c r="G27" s="104" t="n">
        <x:f>SUM(D27:F27)</x:f>
        <x:v>0</x:v>
      </x:c>
      <x:c r="H27" s="95" t="str">
        <x:v>Free commercial static hosting</x:v>
      </x:c>
      <x:c r="I27" s="95"/>
      <x:c r="J27" s="95"/>
      <x:c r="K27" s="95"/>
      <x:c r="L27" s="95"/>
      <x:c r="M27" s="95"/>
      <x:c r="N27" s="95"/>
      <x:c r="O27" s="95"/>
      <x:c r="P27" s="95"/>
      <x:c r="Q27" s="95"/>
    </x:row>
    <x:row r="28" ht="30" customHeight="1">
      <x:c r="A28" s="95" t="str">
        <x:v>Apple Developer Program</x:v>
      </x:c>
      <x:c r="B28" s="95" t="str">
        <x:v>CAD / month</x:v>
      </x:c>
      <x:c r="C28" s="104" t="n">
        <x:v>0</x:v>
      </x:c>
      <x:c r="D28" s="107" t="n">
        <x:v>12</x:v>
      </x:c>
      <x:c r="E28" s="107" t="n">
        <x:v>12</x:v>
      </x:c>
      <x:c r="F28" s="107" t="n">
        <x:v>12</x:v>
      </x:c>
      <x:c r="G28" s="104" t="n">
        <x:f>SUM(D28:F28)</x:f>
        <x:v>36</x:v>
      </x:c>
      <x:c r="H28" s="95" t="str">
        <x:v>Annual membership shown monthly</x:v>
      </x:c>
      <x:c r="I28" s="95"/>
      <x:c r="J28" s="103" t="str">
        <x:v>Subscription cost assumptions</x:v>
      </x:c>
      <x:c r="K28" s="103" t="str">
        <x:v>Subscription cost assumptions</x:v>
      </x:c>
      <x:c r="L28" s="103" t="str">
        <x:v>Subscription cost assumptions</x:v>
      </x:c>
      <x:c r="M28" s="103" t="str">
        <x:v>Subscription cost assumptions</x:v>
      </x:c>
      <x:c r="N28" s="95"/>
      <x:c r="O28" s="95"/>
      <x:c r="P28" s="95"/>
      <x:c r="Q28" s="95"/>
    </x:row>
    <x:row r="29" ht="30" customHeight="1">
      <x:c r="A29" s="95" t="str">
        <x:v>GoDaddy domain + included email</x:v>
      </x:c>
      <x:c r="B29" s="95" t="str">
        <x:v>CAD / month</x:v>
      </x:c>
      <x:c r="C29" s="104" t="n">
        <x:v>0</x:v>
      </x:c>
      <x:c r="D29" s="107" t="n">
        <x:v>5</x:v>
      </x:c>
      <x:c r="E29" s="107" t="n">
        <x:v>5</x:v>
      </x:c>
      <x:c r="F29" s="107" t="n">
        <x:v>5</x:v>
      </x:c>
      <x:c r="G29" s="104" t="n">
        <x:f>SUM(D29:F29)</x:f>
        <x:v>15</x:v>
      </x:c>
      <x:c r="H29" s="95" t="str">
        <x:v>Existing getoutly.app domain and included mailbox estimate</x:v>
      </x:c>
      <x:c r="I29" s="95"/>
      <x:c r="J29" s="40" t="str">
        <x:v>Driver</x:v>
      </x:c>
      <x:c r="K29" s="40" t="str">
        <x:v>Value</x:v>
      </x:c>
      <x:c r="L29" s="40" t="str">
        <x:v>Unit</x:v>
      </x:c>
      <x:c r="M29" s="40" t="str">
        <x:v>Notes</x:v>
      </x:c>
      <x:c r="N29" s="95"/>
      <x:c r="O29" s="95"/>
      <x:c r="P29" s="95"/>
      <x:c r="Q29" s="95"/>
    </x:row>
    <x:row r="30" ht="30" customHeight="1">
      <x:c r="A30" s="95" t="str">
        <x:v>Other software / analytics</x:v>
      </x:c>
      <x:c r="B30" s="95" t="str">
        <x:v>CAD / month</x:v>
      </x:c>
      <x:c r="C30" s="104" t="n">
        <x:v>0</x:v>
      </x:c>
      <x:c r="D30" s="107" t="n">
        <x:v>0</x:v>
      </x:c>
      <x:c r="E30" s="107" t="n">
        <x:v>0</x:v>
      </x:c>
      <x:c r="F30" s="107" t="n">
        <x:v>0</x:v>
      </x:c>
      <x:c r="G30" s="104" t="n">
        <x:f>SUM(D30:F30)</x:f>
        <x:v>0</x:v>
      </x:c>
      <x:c r="H30" s="95" t="str">
        <x:v>Leave zero while free tiers are sufficient</x:v>
      </x:c>
      <x:c r="I30" s="95"/>
      <x:c r="J30" s="95" t="str">
        <x:v>Support hours per paid bar</x:v>
      </x:c>
      <x:c r="K30" s="116" t="n">
        <x:v>1</x:v>
      </x:c>
      <x:c r="L30" s="95" t="str">
        <x:v>hours / month</x:v>
      </x:c>
      <x:c r="M30" s="95" t="str">
        <x:v>Time estimate</x:v>
      </x:c>
      <x:c r="N30" s="95"/>
      <x:c r="O30" s="95"/>
      <x:c r="P30" s="95"/>
      <x:c r="Q30" s="95"/>
    </x:row>
    <x:row r="31" ht="30" customHeight="1">
      <x:c r="A31" s="95" t="str">
        <x:v>Sales and marketing</x:v>
      </x:c>
      <x:c r="B31" s="95" t="str">
        <x:v>CAD / month</x:v>
      </x:c>
      <x:c r="C31" s="104" t="n">
        <x:v>0</x:v>
      </x:c>
      <x:c r="D31" s="107" t="n">
        <x:v>0</x:v>
      </x:c>
      <x:c r="E31" s="107" t="n">
        <x:v>0</x:v>
      </x:c>
      <x:c r="F31" s="107" t="n">
        <x:v>0</x:v>
      </x:c>
      <x:c r="G31" s="104" t="n">
        <x:f>SUM(D31:F31)</x:f>
        <x:v>0</x:v>
      </x:c>
      <x:c r="H31" s="95" t="str">
        <x:v>Editable; zero until approved</x:v>
      </x:c>
      <x:c r="I31" s="95"/>
      <x:c r="J31" s="95" t="str">
        <x:v>Cash support rate</x:v>
      </x:c>
      <x:c r="K31" s="117" t="n">
        <x:v>0</x:v>
      </x:c>
      <x:c r="L31" s="95" t="str">
        <x:v>CAD / hour</x:v>
      </x:c>
      <x:c r="M31" s="95" t="str">
        <x:v>Founder-delivered during pilot</x:v>
      </x:c>
      <x:c r="N31" s="95"/>
      <x:c r="O31" s="95"/>
      <x:c r="P31" s="95"/>
      <x:c r="Q31" s="95"/>
    </x:row>
    <x:row r="32" ht="30" customHeight="1">
      <x:c r="A32" s="95" t="str">
        <x:v>Venue acquisition and travel</x:v>
      </x:c>
      <x:c r="B32" s="95" t="str">
        <x:v>CAD / month</x:v>
      </x:c>
      <x:c r="C32" s="104" t="n">
        <x:v>0</x:v>
      </x:c>
      <x:c r="D32" s="107" t="n">
        <x:v>0</x:v>
      </x:c>
      <x:c r="E32" s="107" t="n">
        <x:v>0</x:v>
      </x:c>
      <x:c r="F32" s="107" t="n">
        <x:v>0</x:v>
      </x:c>
      <x:c r="G32" s="104" t="n">
        <x:f>SUM(D32:F32)</x:f>
        <x:v>0</x:v>
      </x:c>
      <x:c r="H32" s="95" t="str">
        <x:v>Editable; zero until approved</x:v>
      </x:c>
      <x:c r="I32" s="95"/>
      <x:c r="J32" s="95" t="str">
        <x:v>Paid technology cost</x:v>
      </x:c>
      <x:c r="K32" s="117" t="n">
        <x:v>4</x:v>
      </x:c>
      <x:c r="L32" s="95" t="str">
        <x:v>CAD / paid bar / month</x:v>
      </x:c>
      <x:c r="M32" s="95" t="str">
        <x:v>Planning assumption</x:v>
      </x:c>
      <x:c r="N32" s="95"/>
      <x:c r="O32" s="95"/>
      <x:c r="P32" s="95"/>
      <x:c r="Q32" s="95"/>
    </x:row>
    <x:row r="33" ht="30" customHeight="1">
      <x:c r="A33" s="95" t="str">
        <x:v>Legal and accounting</x:v>
      </x:c>
      <x:c r="B33" s="95" t="str">
        <x:v>CAD / month</x:v>
      </x:c>
      <x:c r="C33" s="104" t="n">
        <x:v>0</x:v>
      </x:c>
      <x:c r="D33" s="107" t="n">
        <x:v>0</x:v>
      </x:c>
      <x:c r="E33" s="107" t="n">
        <x:v>0</x:v>
      </x:c>
      <x:c r="F33" s="107" t="n">
        <x:v>0</x:v>
      </x:c>
      <x:c r="G33" s="104" t="n">
        <x:f>SUM(D33:F33)</x:f>
        <x:v>0</x:v>
      </x:c>
      <x:c r="H33" s="95" t="str">
        <x:v>Editable; zero until approved</x:v>
      </x:c>
      <x:c r="I33" s="95"/>
      <x:c r="J33" s="95" t="str">
        <x:v>Free listing technology cost</x:v>
      </x:c>
      <x:c r="K33" s="117" t="n">
        <x:v>1</x:v>
      </x:c>
      <x:c r="L33" s="95" t="str">
        <x:v>CAD / free listing / month</x:v>
      </x:c>
      <x:c r="M33" s="95" t="str">
        <x:v>Planning assumption</x:v>
      </x:c>
      <x:c r="N33" s="95"/>
      <x:c r="O33" s="95"/>
      <x:c r="P33" s="95"/>
      <x:c r="Q33" s="95"/>
    </x:row>
    <x:row r="34" ht="30" customHeight="1">
      <x:c r="A34" s="95" t="str">
        <x:v>Other G&amp;A</x:v>
      </x:c>
      <x:c r="B34" s="95" t="str">
        <x:v>CAD / month</x:v>
      </x:c>
      <x:c r="C34" s="104" t="n">
        <x:v>0</x:v>
      </x:c>
      <x:c r="D34" s="107" t="n">
        <x:v>0</x:v>
      </x:c>
      <x:c r="E34" s="107" t="n">
        <x:v>0</x:v>
      </x:c>
      <x:c r="F34" s="107" t="n">
        <x:v>0</x:v>
      </x:c>
      <x:c r="G34" s="104" t="n">
        <x:f>SUM(D34:F34)</x:f>
        <x:v>0</x:v>
      </x:c>
      <x:c r="H34" s="95" t="str">
        <x:v>Editable; zero until approved</x:v>
      </x:c>
      <x:c r="I34" s="95"/>
      <x:c r="J34" s="95" t="str">
        <x:v>Stripe variable fees</x:v>
      </x:c>
      <x:c r="K34" s="118" t="n">
        <x:v>0.036</x:v>
      </x:c>
      <x:c r="L34" s="95" t="str">
        <x:v>% of subscription</x:v>
      </x:c>
      <x:c r="M34" s="95" t="str">
        <x:v>Payments plus Billing estimate</x:v>
      </x:c>
      <x:c r="N34" s="95"/>
      <x:c r="O34" s="95"/>
      <x:c r="P34" s="95"/>
      <x:c r="Q34" s="95"/>
    </x:row>
    <x:row r="35" ht="30" customHeight="1">
      <x:c r="A35" s="95" t="str">
        <x:v>Pilot contingency</x:v>
      </x:c>
      <x:c r="B35" s="95" t="str">
        <x:v>CAD / month</x:v>
      </x:c>
      <x:c r="C35" s="104" t="n">
        <x:v>0</x:v>
      </x:c>
      <x:c r="D35" s="107" t="n">
        <x:v>0</x:v>
      </x:c>
      <x:c r="E35" s="107" t="n">
        <x:v>0</x:v>
      </x:c>
      <x:c r="F35" s="107" t="n">
        <x:v>0</x:v>
      </x:c>
      <x:c r="G35" s="104" t="n">
        <x:f>SUM(D35:F35)</x:f>
        <x:v>0</x:v>
      </x:c>
      <x:c r="H35" s="95" t="str">
        <x:v>Editable; zero until approved</x:v>
      </x:c>
      <x:c r="I35" s="95"/>
      <x:c r="J35" s="95" t="str">
        <x:v>Stripe fixed fee</x:v>
      </x:c>
      <x:c r="K35" s="117" t="n">
        <x:v>0.3</x:v>
      </x:c>
      <x:c r="L35" s="95" t="str">
        <x:v>CAD / payment</x:v>
      </x:c>
      <x:c r="M35" s="95" t="str">
        <x:v>Per subscription payment</x:v>
      </x:c>
      <x:c r="N35" s="95"/>
      <x:c r="O35" s="95"/>
      <x:c r="P35" s="95"/>
      <x:c r="Q35" s="95"/>
    </x:row>
    <x:row r="36" ht="30" customHeight="1">
      <x:c r="A36" s="95" t="str">
        <x:v>Founder cash draw</x:v>
      </x:c>
      <x:c r="B36" s="95" t="str">
        <x:v>CAD / month</x:v>
      </x:c>
      <x:c r="C36" s="104" t="n">
        <x:v>0</x:v>
      </x:c>
      <x:c r="D36" s="107" t="n">
        <x:v>0</x:v>
      </x:c>
      <x:c r="E36" s="107" t="n">
        <x:v>0</x:v>
      </x:c>
      <x:c r="F36" s="107" t="n">
        <x:v>0</x:v>
      </x:c>
      <x:c r="G36" s="104" t="n">
        <x:f>SUM(D36:F36)</x:f>
        <x:v>0</x:v>
      </x:c>
      <x:c r="H36" s="95" t="str">
        <x:v>Editable; zero unless founders take cash compensation</x:v>
      </x:c>
      <x:c r="I36" s="95"/>
      <x:c r="J36" s="95"/>
      <x:c r="K36" s="95"/>
      <x:c r="L36" s="95"/>
      <x:c r="M36" s="95"/>
      <x:c r="N36" s="95"/>
      <x:c r="O36" s="95"/>
      <x:c r="P36" s="95"/>
      <x:c r="Q36" s="95"/>
    </x:row>
    <x:row r="37" ht="30" customHeight="1">
      <x:c r="A37" s="112" t="str">
        <x:v>Total fixed monthly cash cost</x:v>
      </x:c>
      <x:c r="B37" s="112" t="str">
        <x:v>CAD</x:v>
      </x:c>
      <x:c r="C37" s="113" t="n">
        <x:v>0</x:v>
      </x:c>
      <x:c r="D37" s="113" t="n">
        <x:f>SUM(D26:D36)</x:f>
        <x:v>17</x:v>
      </x:c>
      <x:c r="E37" s="113" t="n">
        <x:f>SUM(E26:E36)</x:f>
        <x:v>17</x:v>
      </x:c>
      <x:c r="F37" s="113" t="n">
        <x:f>SUM(F26:F36)</x:f>
        <x:v>17</x:v>
      </x:c>
      <x:c r="G37" s="113" t="n">
        <x:f>SUM(D37:F37)</x:f>
        <x:v>51</x:v>
      </x:c>
      <x:c r="H37" s="95" t="str">
        <x:v>Known and approved recurring cash costs</x:v>
      </x:c>
      <x:c r="I37" s="95"/>
      <x:c r="J37" s="95"/>
      <x:c r="K37" s="95"/>
      <x:c r="L37" s="95"/>
      <x:c r="M37" s="95"/>
      <x:c r="N37" s="95"/>
      <x:c r="O37" s="95"/>
      <x:c r="P37" s="95"/>
      <x:c r="Q37" s="95"/>
    </x:row>
    <x:row r="38" ht="30" customHeight="1">
      <x:c r="A38" s="112" t="str">
        <x:v>Cash operating profit</x:v>
      </x:c>
      <x:c r="B38" s="112" t="str">
        <x:v>CAD</x:v>
      </x:c>
      <x:c r="C38" s="113" t="n">
        <x:v>0</x:v>
      </x:c>
      <x:c r="D38" s="113" t="n">
        <x:f>D24-D37</x:f>
        <x:v>573.28</x:v>
      </x:c>
      <x:c r="E38" s="113" t="n">
        <x:f>E24-E37</x:f>
        <x:v>1163.56</x:v>
      </x:c>
      <x:c r="F38" s="113" t="n">
        <x:f>F24-F37</x:f>
        <x:v>1753.84</x:v>
      </x:c>
      <x:c r="G38" s="113" t="n">
        <x:f>SUM(D38:F38)</x:f>
        <x:v>3490.68</x:v>
      </x:c>
      <x:c r="H38" s="95" t="str">
        <x:v>Gross profit less fixed monthly cash costs</x:v>
      </x:c>
      <x:c r="I38" s="95"/>
      <x:c r="J38" s="103" t="str">
        <x:v>Subscription unit economics</x:v>
      </x:c>
      <x:c r="K38" s="103" t="str">
        <x:v>Subscription unit economics</x:v>
      </x:c>
      <x:c r="L38" s="103" t="str">
        <x:v>Subscription unit economics</x:v>
      </x:c>
      <x:c r="M38" s="103" t="str">
        <x:v>Subscription unit economics</x:v>
      </x:c>
      <x:c r="N38" s="95"/>
      <x:c r="O38" s="95"/>
      <x:c r="P38" s="95"/>
      <x:c r="Q38" s="95"/>
    </x:row>
    <x:row r="39" ht="30" customHeight="1">
      <x:c r="A39" s="95" t="str">
        <x:v>Cash operating margin</x:v>
      </x:c>
      <x:c r="B39" s="95" t="str">
        <x:v>%</x:v>
      </x:c>
      <x:c r="C39" s="95" t="n">
        <x:v>0</x:v>
      </x:c>
      <x:c r="D39" s="119" t="n">
        <x:f>IF(D15=0,0,D38/D15)</x:f>
        <x:v>0.8888062015503876</x:v>
      </x:c>
      <x:c r="E39" s="119" t="n">
        <x:f>IF(E15=0,0,E38/E15)</x:f>
        <x:v>0.901984496124031</x:v>
      </x:c>
      <x:c r="F39" s="119" t="n">
        <x:f>IF(F15=0,0,F38/F15)</x:f>
        <x:v>0.9063772609819121</x:v>
      </x:c>
      <x:c r="G39" s="119" t="n">
        <x:f>IF(G15=0,0,G38/G15)</x:f>
        <x:v>0.901984496124031</x:v>
      </x:c>
      <x:c r="H39" s="95" t="str">
        <x:v>Cash operating profit ÷ total revenue</x:v>
      </x:c>
      <x:c r="I39" s="95"/>
      <x:c r="J39" s="40" t="str">
        <x:v>Metric</x:v>
      </x:c>
      <x:c r="K39" s="40" t="str">
        <x:v>Value</x:v>
      </x:c>
      <x:c r="L39" s="40" t="str">
        <x:v>Unit</x:v>
      </x:c>
      <x:c r="M39" s="40" t="str">
        <x:v>Notes</x:v>
      </x:c>
      <x:c r="N39" s="95"/>
      <x:c r="O39" s="95"/>
      <x:c r="P39" s="95"/>
      <x:c r="Q39" s="95"/>
    </x:row>
    <x:row r="40" ht="30" customHeight="1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 t="str">
        <x:v>Pilot subscription price</x:v>
      </x:c>
      <x:c r="K40" s="120" t="n">
        <x:f>F11</x:f>
        <x:v>129</x:v>
      </x:c>
      <x:c r="L40" s="95" t="str">
        <x:v>CAD / bar / month</x:v>
      </x:c>
      <x:c r="M40" s="95" t="str">
        <x:v>Month 3 price</x:v>
      </x:c>
      <x:c r="N40" s="95"/>
      <x:c r="O40" s="95"/>
      <x:c r="P40" s="95"/>
      <x:c r="Q40" s="95"/>
    </x:row>
    <x:row r="41" ht="30" customHeight="1">
      <x:c r="A41" s="90" t="str">
        <x:v>Cash profit excludes unpaid founder time, income tax and HST. Discretionary expenses default to zero until a real pilot budget is approved.</x:v>
      </x:c>
      <x:c r="B41" s="90" t="str">
        <x:v>Cash profit excludes unpaid founder time, income tax and HST. Discretionary expenses default to zero until a real pilot budget is approved.</x:v>
      </x:c>
      <x:c r="C41" s="90" t="str">
        <x:v>Cash profit excludes unpaid founder time, income tax and HST. Discretionary expenses default to zero until a real pilot budget is approved.</x:v>
      </x:c>
      <x:c r="D41" s="90" t="str">
        <x:v>Cash profit excludes unpaid founder time, income tax and HST. Discretionary expenses default to zero until a real pilot budget is approved.</x:v>
      </x:c>
      <x:c r="E41" s="90" t="str">
        <x:v>Cash profit excludes unpaid founder time, income tax and HST. Discretionary expenses default to zero until a real pilot budget is approved.</x:v>
      </x:c>
      <x:c r="F41" s="90" t="str">
        <x:v>Cash profit excludes unpaid founder time, income tax and HST. Discretionary expenses default to zero until a real pilot budget is approved.</x:v>
      </x:c>
      <x:c r="G41" s="90" t="str">
        <x:v>Cash profit excludes unpaid founder time, income tax and HST. Discretionary expenses default to zero until a real pilot budget is approved.</x:v>
      </x:c>
      <x:c r="H41" s="90" t="str">
        <x:v>Cash profit excludes unpaid founder time, income tax and HST. Discretionary expenses default to zero until a real pilot budget is approved.</x:v>
      </x:c>
      <x:c r="I41" s="95"/>
      <x:c r="J41" s="95" t="str">
        <x:v>Direct cost per paid bar</x:v>
      </x:c>
      <x:c r="K41" s="120" t="n">
        <x:f>F19</x:f>
        <x:v>8.943999999999999</x:v>
      </x:c>
      <x:c r="L41" s="95" t="str">
        <x:v>CAD / bar / month</x:v>
      </x:c>
      <x:c r="M41" s="95" t="str">
        <x:v>Cash cost</x:v>
      </x:c>
      <x:c r="N41" s="95"/>
      <x:c r="O41" s="95"/>
      <x:c r="P41" s="95"/>
      <x:c r="Q41" s="95"/>
    </x:row>
    <x:row r="42">
      <x:c r="A42" s="95"/>
      <x:c r="B42" s="95"/>
      <x:c r="C42" s="95"/>
      <x:c r="D42" s="95"/>
      <x:c r="E42" s="95"/>
      <x:c r="F42" s="95"/>
      <x:c r="G42" s="95"/>
      <x:c r="H42" s="95"/>
      <x:c r="I42" s="95"/>
      <x:c r="J42" s="95" t="str">
        <x:v>Contribution per paid bar</x:v>
      </x:c>
      <x:c r="K42" s="120" t="n">
        <x:f>K40-K41</x:f>
        <x:v>120.056</x:v>
      </x:c>
      <x:c r="L42" s="95" t="str">
        <x:v>CAD / bar / month</x:v>
      </x:c>
      <x:c r="M42" s="95" t="str">
        <x:v>Before fixed cash costs</x:v>
      </x:c>
      <x:c r="N42" s="95"/>
      <x:c r="O42" s="95"/>
      <x:c r="P42" s="95"/>
      <x:c r="Q42" s="95"/>
    </x:row>
    <x:row r="43" ht="22" customHeight="1">
      <x:c r="A43" s="103" t="str">
        <x:v>Optional one-time launch cash budget</x:v>
      </x:c>
      <x:c r="B43" s="103" t="str">
        <x:v>Optional one-time launch cash budget</x:v>
      </x:c>
      <x:c r="C43" s="103" t="str">
        <x:v>Optional one-time launch cash budget</x:v>
      </x:c>
      <x:c r="D43" s="103" t="str">
        <x:v>Optional one-time launch cash budget</x:v>
      </x:c>
      <x:c r="E43" s="103" t="str">
        <x:v>Optional one-time launch cash budget</x:v>
      </x:c>
      <x:c r="F43" s="103" t="str">
        <x:v>Optional one-time launch cash budget</x:v>
      </x:c>
      <x:c r="G43" s="103" t="str">
        <x:v>Optional one-time launch cash budget</x:v>
      </x:c>
      <x:c r="H43" s="103" t="str">
        <x:v>Optional one-time launch cash budget</x:v>
      </x:c>
      <x:c r="I43" s="95"/>
      <x:c r="J43" s="95" t="str">
        <x:v>Contribution margin</x:v>
      </x:c>
      <x:c r="K43" s="121" t="n">
        <x:f>IF(K40=0,0,K42/K40)</x:f>
        <x:v>0.9306666666666666</x:v>
      </x:c>
      <x:c r="L43" s="95" t="str">
        <x:v>%</x:v>
      </x:c>
      <x:c r="M43" s="95" t="str">
        <x:v>Per paid subscription</x:v>
      </x:c>
      <x:c r="N43" s="95"/>
      <x:c r="O43" s="95"/>
      <x:c r="P43" s="95"/>
      <x:c r="Q43" s="95"/>
    </x:row>
    <x:row r="44">
      <x:c r="A44" s="40" t="str">
        <x:v>Item</x:v>
      </x:c>
      <x:c r="B44" s="40" t="str">
        <x:v>Unit</x:v>
      </x:c>
      <x:c r="C44" s="40" t="str">
        <x:v>Pre-launch</x:v>
      </x:c>
      <x:c r="D44" s="40" t="str">
        <x:v>Month 1</x:v>
      </x:c>
      <x:c r="E44" s="40" t="str">
        <x:v>Month 2</x:v>
      </x:c>
      <x:c r="F44" s="40" t="str">
        <x:v>Month 3</x:v>
      </x:c>
      <x:c r="G44" s="40" t="str">
        <x:v>Pilot total</x:v>
      </x:c>
      <x:c r="H44" s="40" t="str">
        <x:v>Notes</x:v>
      </x:c>
      <x:c r="I44" s="95"/>
      <x:c r="J44" s="95" t="str">
        <x:v>Month 3 free listings per paid bar</x:v>
      </x:c>
      <x:c r="K44" s="122" t="n">
        <x:f>IF(F10=0,0,F13/F10)</x:f>
        <x:v>2</x:v>
      </x:c>
      <x:c r="L44" s="95" t="str">
        <x:v>ratio</x:v>
      </x:c>
      <x:c r="M44" s="95" t="str">
        <x:v>Free supply support load</x:v>
      </x:c>
      <x:c r="N44" s="95"/>
      <x:c r="O44" s="95"/>
      <x:c r="P44" s="95"/>
      <x:c r="Q44" s="95"/>
    </x:row>
    <x:row r="45">
      <x:c r="A45" s="95" t="str">
        <x:v>External backend work</x:v>
      </x:c>
      <x:c r="B45" s="95" t="str">
        <x:v>CAD</x:v>
      </x:c>
      <x:c r="C45" s="107" t="n">
        <x:v>0</x:v>
      </x:c>
      <x:c r="D45" s="107" t="n">
        <x:v>0</x:v>
      </x:c>
      <x:c r="E45" s="107" t="n">
        <x:v>0</x:v>
      </x:c>
      <x:c r="F45" s="107" t="n">
        <x:v>0</x:v>
      </x:c>
      <x:c r="G45" s="104" t="n">
        <x:f>SUM(C45:F45)</x:f>
        <x:v>0</x:v>
      </x:c>
      <x:c r="H45" s="95" t="str">
        <x:v>Optional input; zero if founder-built</x:v>
      </x:c>
      <x:c r="I45" s="95"/>
      <x:c r="J45" s="95" t="str">
        <x:v>Break-even paid bars</x:v>
      </x:c>
      <x:c r="K45" s="106" t="n">
        <x:f>G57</x:f>
        <x:v>1</x:v>
      </x:c>
      <x:c r="L45" s="95" t="str">
        <x:v>bars</x:v>
      </x:c>
      <x:c r="M45" s="95" t="str">
        <x:v>At Month 3 free-to-paid mix</x:v>
      </x:c>
      <x:c r="N45" s="95"/>
      <x:c r="O45" s="95"/>
      <x:c r="P45" s="95"/>
      <x:c r="Q45" s="95"/>
    </x:row>
    <x:row r="46">
      <x:c r="A46" s="95" t="str">
        <x:v>Website / venue portal work</x:v>
      </x:c>
      <x:c r="B46" s="95" t="str">
        <x:v>CAD</x:v>
      </x:c>
      <x:c r="C46" s="107" t="n">
        <x:v>0</x:v>
      </x:c>
      <x:c r="D46" s="107" t="n">
        <x:v>0</x:v>
      </x:c>
      <x:c r="E46" s="107" t="n">
        <x:v>0</x:v>
      </x:c>
      <x:c r="F46" s="107" t="n">
        <x:v>0</x:v>
      </x:c>
      <x:c r="G46" s="104" t="n">
        <x:f>SUM(C46:F46)</x:f>
        <x:v>0</x:v>
      </x:c>
      <x:c r="H46" s="95" t="str">
        <x:v>Optional input; zero if founder-built</x:v>
      </x:c>
      <x:c r="I46" s="95"/>
      <x:c r="J46" s="95"/>
      <x:c r="K46" s="95"/>
      <x:c r="L46" s="95"/>
      <x:c r="M46" s="95"/>
      <x:c r="N46" s="95"/>
      <x:c r="O46" s="95"/>
      <x:c r="P46" s="95"/>
      <x:c r="Q46" s="95"/>
    </x:row>
    <x:row r="47">
      <x:c r="A47" s="95" t="str">
        <x:v>Legal, privacy and contracts</x:v>
      </x:c>
      <x:c r="B47" s="95" t="str">
        <x:v>CAD</x:v>
      </x:c>
      <x:c r="C47" s="107" t="n">
        <x:v>0</x:v>
      </x:c>
      <x:c r="D47" s="107" t="n">
        <x:v>0</x:v>
      </x:c>
      <x:c r="E47" s="107" t="n">
        <x:v>0</x:v>
      </x:c>
      <x:c r="F47" s="107" t="n">
        <x:v>0</x:v>
      </x:c>
      <x:c r="G47" s="104" t="n">
        <x:f>SUM(C47:F47)</x:f>
        <x:v>0</x:v>
      </x:c>
      <x:c r="H47" s="95" t="str">
        <x:v>Enter actual quotes when approved</x:v>
      </x:c>
      <x:c r="I47" s="95"/>
      <x:c r="J47" s="95"/>
      <x:c r="K47" s="95"/>
      <x:c r="L47" s="95"/>
      <x:c r="M47" s="95"/>
      <x:c r="N47" s="95"/>
      <x:c r="O47" s="95"/>
      <x:c r="P47" s="95"/>
      <x:c r="Q47" s="95"/>
    </x:row>
    <x:row r="48">
      <x:c r="A48" s="95" t="str">
        <x:v>Creative, QA and launch testing</x:v>
      </x:c>
      <x:c r="B48" s="95" t="str">
        <x:v>CAD</x:v>
      </x:c>
      <x:c r="C48" s="107" t="n">
        <x:v>0</x:v>
      </x:c>
      <x:c r="D48" s="107" t="n">
        <x:v>0</x:v>
      </x:c>
      <x:c r="E48" s="107" t="n">
        <x:v>0</x:v>
      </x:c>
      <x:c r="F48" s="107" t="n">
        <x:v>0</x:v>
      </x:c>
      <x:c r="G48" s="104" t="n">
        <x:f>SUM(C48:F48)</x:f>
        <x:v>0</x:v>
      </x:c>
      <x:c r="H48" s="95" t="str">
        <x:v>Enter actual spend when approved</x:v>
      </x:c>
      <x:c r="I48" s="95"/>
      <x:c r="J48" s="95"/>
      <x:c r="K48" s="95"/>
      <x:c r="L48" s="95"/>
      <x:c r="M48" s="95"/>
      <x:c r="N48" s="95"/>
      <x:c r="O48" s="95"/>
      <x:c r="P48" s="95"/>
      <x:c r="Q48" s="95"/>
    </x:row>
    <x:row r="49">
      <x:c r="A49" s="95" t="str">
        <x:v>Other one-time cost</x:v>
      </x:c>
      <x:c r="B49" s="95" t="str">
        <x:v>CAD</x:v>
      </x:c>
      <x:c r="C49" s="107" t="n">
        <x:v>0</x:v>
      </x:c>
      <x:c r="D49" s="107" t="n">
        <x:v>0</x:v>
      </x:c>
      <x:c r="E49" s="107" t="n">
        <x:v>0</x:v>
      </x:c>
      <x:c r="F49" s="107" t="n">
        <x:v>0</x:v>
      </x:c>
      <x:c r="G49" s="104" t="n">
        <x:f>SUM(C49:F49)</x:f>
        <x:v>0</x:v>
      </x:c>
      <x:c r="H49" s="95" t="str">
        <x:v>Optional input</x:v>
      </x:c>
      <x:c r="I49" s="95"/>
      <x:c r="J49" s="95"/>
      <x:c r="K49" s="95"/>
      <x:c r="L49" s="95"/>
      <x:c r="M49" s="95"/>
      <x:c r="N49" s="95"/>
      <x:c r="O49" s="95"/>
      <x:c r="P49" s="95"/>
      <x:c r="Q49" s="95"/>
    </x:row>
    <x:row r="50">
      <x:c r="A50" s="112" t="str">
        <x:v>Total optional launch budget</x:v>
      </x:c>
      <x:c r="B50" s="112" t="str">
        <x:v>CAD</x:v>
      </x:c>
      <x:c r="C50" s="113" t="n">
        <x:f>SUM(C45:C49)</x:f>
        <x:v>0</x:v>
      </x:c>
      <x:c r="D50" s="113" t="n">
        <x:f>SUM(D45:D49)</x:f>
        <x:v>0</x:v>
      </x:c>
      <x:c r="E50" s="113" t="n">
        <x:f>SUM(E45:E49)</x:f>
        <x:v>0</x:v>
      </x:c>
      <x:c r="F50" s="113" t="n">
        <x:f>SUM(F45:F49)</x:f>
        <x:v>0</x:v>
      </x:c>
      <x:c r="G50" s="113" t="n">
        <x:f>SUM(G45:G49)</x:f>
        <x:v>0</x:v>
      </x:c>
      <x:c r="H50" s="95" t="str">
        <x:v>Excluded unless entered</x:v>
      </x:c>
      <x:c r="I50" s="95"/>
      <x:c r="J50" s="95"/>
      <x:c r="K50" s="95"/>
      <x:c r="L50" s="95"/>
      <x:c r="M50" s="95"/>
      <x:c r="N50" s="95"/>
      <x:c r="O50" s="95"/>
      <x:c r="P50" s="95"/>
      <x:c r="Q50" s="95"/>
    </x:row>
    <x:row r="51">
      <x:c r="A51" s="95"/>
      <x:c r="B51" s="95"/>
      <x:c r="C51" s="95"/>
      <x:c r="D51" s="95"/>
      <x:c r="E51" s="95"/>
      <x:c r="F51" s="95"/>
      <x:c r="G51" s="95"/>
      <x:c r="H51" s="95"/>
      <x:c r="I51" s="95"/>
      <x:c r="J51" s="95"/>
      <x:c r="K51" s="95"/>
      <x:c r="L51" s="95"/>
      <x:c r="M51" s="95"/>
      <x:c r="N51" s="95"/>
      <x:c r="O51" s="95"/>
      <x:c r="P51" s="95"/>
      <x:c r="Q51" s="95"/>
    </x:row>
    <x:row r="52" ht="22" customHeight="1">
      <x:c r="A52" s="103" t="str">
        <x:v>Cash requirement and subscription break-even</x:v>
      </x:c>
      <x:c r="B52" s="103" t="str">
        <x:v>Cash requirement and subscription break-even</x:v>
      </x:c>
      <x:c r="C52" s="103" t="str">
        <x:v>Cash requirement and subscription break-even</x:v>
      </x:c>
      <x:c r="D52" s="103" t="str">
        <x:v>Cash requirement and subscription break-even</x:v>
      </x:c>
      <x:c r="E52" s="103" t="str">
        <x:v>Cash requirement and subscription break-even</x:v>
      </x:c>
      <x:c r="F52" s="103" t="str">
        <x:v>Cash requirement and subscription break-even</x:v>
      </x:c>
      <x:c r="G52" s="103" t="str">
        <x:v>Cash requirement and subscription break-even</x:v>
      </x:c>
      <x:c r="H52" s="103" t="str">
        <x:v>Cash requirement and subscription break-even</x:v>
      </x:c>
      <x:c r="I52" s="95"/>
      <x:c r="J52" s="95"/>
      <x:c r="K52" s="95"/>
      <x:c r="L52" s="95"/>
      <x:c r="M52" s="95"/>
      <x:c r="N52" s="95"/>
      <x:c r="O52" s="95"/>
      <x:c r="P52" s="95"/>
      <x:c r="Q52" s="95"/>
    </x:row>
    <x:row r="53">
      <x:c r="A53" s="112" t="str">
        <x:v>Net cash flow</x:v>
      </x:c>
      <x:c r="B53" s="112" t="str">
        <x:v>CAD</x:v>
      </x:c>
      <x:c r="C53" s="113" t="n">
        <x:f>-C50</x:f>
        <x:v>0</x:v>
      </x:c>
      <x:c r="D53" s="113" t="n">
        <x:f>D38-D50</x:f>
        <x:v>573.28</x:v>
      </x:c>
      <x:c r="E53" s="113" t="n">
        <x:f>E38-E50</x:f>
        <x:v>1163.56</x:v>
      </x:c>
      <x:c r="F53" s="113" t="n">
        <x:f>F38-F50</x:f>
        <x:v>1753.84</x:v>
      </x:c>
      <x:c r="G53" s="113" t="n">
        <x:f>SUM(C53:F53)</x:f>
        <x:v>3490.68</x:v>
      </x:c>
      <x:c r="H53" s="95" t="str">
        <x:v>Cash operating profit less optional one-time launch budget</x:v>
      </x:c>
      <x:c r="I53" s="95"/>
      <x:c r="J53" s="95"/>
      <x:c r="K53" s="95"/>
      <x:c r="L53" s="95"/>
      <x:c r="M53" s="95"/>
      <x:c r="N53" s="95"/>
      <x:c r="O53" s="95"/>
      <x:c r="P53" s="95"/>
      <x:c r="Q53" s="95"/>
    </x:row>
    <x:row r="54">
      <x:c r="A54" s="112" t="str">
        <x:v>Cumulative cash flow</x:v>
      </x:c>
      <x:c r="B54" s="112" t="str">
        <x:v>CAD</x:v>
      </x:c>
      <x:c r="C54" s="113" t="n">
        <x:f>C53</x:f>
        <x:v>0</x:v>
      </x:c>
      <x:c r="D54" s="113" t="n">
        <x:f>C54+D53</x:f>
        <x:v>573.28</x:v>
      </x:c>
      <x:c r="E54" s="113" t="n">
        <x:f>D54+E53</x:f>
        <x:v>1736.84</x:v>
      </x:c>
      <x:c r="F54" s="113" t="n">
        <x:f>E54+F53</x:f>
        <x:v>3490.68</x:v>
      </x:c>
      <x:c r="G54" s="113" t="n">
        <x:f>F54</x:f>
        <x:v>3490.68</x:v>
      </x:c>
      <x:c r="H54" s="95" t="str">
        <x:v>Cash position from start of pilot</x:v>
      </x:c>
      <x:c r="I54" s="95"/>
      <x:c r="J54" s="95"/>
      <x:c r="K54" s="95"/>
      <x:c r="L54" s="95"/>
      <x:c r="M54" s="95"/>
      <x:c r="N54" s="95"/>
      <x:c r="O54" s="95"/>
      <x:c r="P54" s="95"/>
      <x:c r="Q54" s="95"/>
    </x:row>
    <x:row r="55">
      <x:c r="A55" s="95" t="str">
        <x:v>Maximum funding requirement</x:v>
      </x:c>
      <x:c r="B55" s="95" t="str">
        <x:v>CAD</x:v>
      </x:c>
      <x:c r="C55" s="104"/>
      <x:c r="D55" s="104"/>
      <x:c r="E55" s="104"/>
      <x:c r="F55" s="104"/>
      <x:c r="G55" s="123" t="n">
        <x:f>MAX(0,-MIN(C54:F54))</x:f>
        <x:v>0</x:v>
      </x:c>
      <x:c r="H55" s="95" t="str">
        <x:v>Largest cumulative cash deficit</x:v>
      </x:c>
      <x:c r="I55" s="95"/>
      <x:c r="J55" s="95"/>
      <x:c r="K55" s="95"/>
      <x:c r="L55" s="95"/>
      <x:c r="M55" s="95"/>
      <x:c r="N55" s="95"/>
      <x:c r="O55" s="95"/>
      <x:c r="P55" s="95"/>
      <x:c r="Q55" s="95"/>
    </x:row>
    <x:row r="56">
      <x:c r="A56" s="95" t="str">
        <x:v>Ending cumulative cash</x:v>
      </x:c>
      <x:c r="B56" s="95" t="str">
        <x:v>CAD</x:v>
      </x:c>
      <x:c r="C56" s="104"/>
      <x:c r="D56" s="104"/>
      <x:c r="E56" s="104"/>
      <x:c r="F56" s="104"/>
      <x:c r="G56" s="123" t="n">
        <x:f>F54</x:f>
        <x:v>3490.68</x:v>
      </x:c>
      <x:c r="H56" s="95" t="str">
        <x:v>Ending cash after three months</x:v>
      </x:c>
      <x:c r="I56" s="95"/>
      <x:c r="J56" s="95"/>
      <x:c r="K56" s="95"/>
      <x:c r="L56" s="95"/>
      <x:c r="M56" s="95"/>
      <x:c r="N56" s="95"/>
      <x:c r="O56" s="95"/>
      <x:c r="P56" s="95"/>
      <x:c r="Q56" s="95"/>
    </x:row>
    <x:row r="57">
      <x:c r="A57" s="95" t="str">
        <x:v>Break-even paid bars</x:v>
      </x:c>
      <x:c r="B57" s="95" t="str">
        <x:v>bars</x:v>
      </x:c>
      <x:c r="C57" s="95"/>
      <x:c r="D57" s="95"/>
      <x:c r="E57" s="95"/>
      <x:c r="F57" s="95"/>
      <x:c r="G57" s="106" t="n">
        <x:f>IFERROR(MAX(0,ROUNDUP(F37/(F11-F19-(F13/F10)*$K$33),0)),0)</x:f>
        <x:v>1</x:v>
      </x:c>
      <x:c r="H57" s="95" t="str">
        <x:v>At Month 3 free-to-paid mix and recurring cash cost base</x:v>
      </x:c>
      <x:c r="I57" s="95"/>
      <x:c r="J57" s="95"/>
      <x:c r="K57" s="95"/>
      <x:c r="L57" s="95"/>
      <x:c r="M57" s="95"/>
      <x:c r="N57" s="95"/>
      <x:c r="O57" s="95"/>
      <x:c r="P57" s="95"/>
      <x:c r="Q57" s="95"/>
    </x:row>
    <x:row r="58">
      <x:c r="A58" s="95"/>
      <x:c r="B58" s="95"/>
      <x:c r="C58" s="95"/>
      <x:c r="D58" s="95"/>
      <x:c r="E58" s="95"/>
      <x:c r="F58" s="95"/>
      <x:c r="G58" s="95"/>
      <x:c r="H58" s="95"/>
      <x:c r="I58" s="95"/>
      <x:c r="J58" s="95"/>
      <x:c r="K58" s="95"/>
      <x:c r="L58" s="95"/>
      <x:c r="M58" s="95"/>
      <x:c r="N58" s="95"/>
      <x:c r="O58" s="95"/>
      <x:c r="P58" s="95"/>
      <x:c r="Q58" s="95"/>
    </x:row>
    <x:row r="59">
      <x:c r="A59" s="95"/>
      <x:c r="B59" s="95"/>
      <x:c r="C59" s="95"/>
      <x:c r="D59" s="95"/>
      <x:c r="E59" s="95"/>
      <x:c r="F59" s="95"/>
      <x:c r="G59" s="95"/>
      <x:c r="H59" s="95"/>
      <x:c r="I59" s="95"/>
      <x:c r="J59" s="95"/>
      <x:c r="K59" s="95"/>
      <x:c r="L59" s="95"/>
      <x:c r="M59" s="95"/>
      <x:c r="N59" s="95"/>
      <x:c r="O59" s="95"/>
      <x:c r="P59" s="95"/>
      <x:c r="Q59" s="95"/>
    </x:row>
    <x:row r="60" ht="22" customHeight="1">
      <x:c r="A60" s="103" t="str">
        <x:v>Model checks</x:v>
      </x:c>
      <x:c r="B60" s="103" t="str">
        <x:v>Model checks</x:v>
      </x:c>
      <x:c r="C60" s="103" t="str">
        <x:v>Model checks</x:v>
      </x:c>
      <x:c r="D60" s="103" t="str">
        <x:v>Model checks</x:v>
      </x:c>
      <x:c r="E60" s="103" t="str">
        <x:v>Model checks</x:v>
      </x:c>
      <x:c r="F60" s="103" t="str">
        <x:v>Model checks</x:v>
      </x:c>
      <x:c r="G60" s="103" t="str">
        <x:v>Model checks</x:v>
      </x:c>
      <x:c r="H60" s="103" t="str">
        <x:v>Model checks</x:v>
      </x:c>
      <x:c r="I60" s="95"/>
      <x:c r="J60" s="95"/>
      <x:c r="K60" s="95"/>
      <x:c r="L60" s="95"/>
      <x:c r="M60" s="95"/>
      <x:c r="N60" s="95"/>
      <x:c r="O60" s="95"/>
      <x:c r="P60" s="95"/>
      <x:c r="Q60" s="95"/>
    </x:row>
    <x:row r="61">
      <x:c r="A61" s="40" t="str">
        <x:v>Check</x:v>
      </x:c>
      <x:c r="B61" s="40" t="str">
        <x:v>Actual</x:v>
      </x:c>
      <x:c r="C61" s="40" t="str">
        <x:v>Expected</x:v>
      </x:c>
      <x:c r="D61" s="40" t="str">
        <x:v>Difference</x:v>
      </x:c>
      <x:c r="E61" s="40" t="str">
        <x:v>Tolerance</x:v>
      </x:c>
      <x:c r="F61" s="40" t="str">
        <x:v>Status</x:v>
      </x:c>
      <x:c r="G61" s="95"/>
      <x:c r="H61" s="95"/>
      <x:c r="I61" s="95"/>
      <x:c r="J61" s="95"/>
      <x:c r="K61" s="95"/>
      <x:c r="L61" s="95"/>
      <x:c r="M61" s="95"/>
      <x:c r="N61" s="95"/>
      <x:c r="O61" s="95"/>
      <x:c r="P61" s="95"/>
      <x:c r="Q61" s="95"/>
    </x:row>
    <x:row r="62">
      <x:c r="A62" s="95" t="str">
        <x:v>Subscription revenue ties</x:v>
      </x:c>
      <x:c r="B62" s="104" t="n">
        <x:f>G12</x:f>
        <x:v>3870</x:v>
      </x:c>
      <x:c r="C62" s="104" t="n">
        <x:f>SUM(D12:F12)</x:f>
        <x:v>3870</x:v>
      </x:c>
      <x:c r="D62" s="104" t="n">
        <x:f>B62-C62</x:f>
        <x:v>0</x:v>
      </x:c>
      <x:c r="E62" s="104" t="n">
        <x:f>0.01</x:f>
        <x:v>0.01</x:v>
      </x:c>
      <x:c r="F62" s="95" t="str">
        <x:f>IF(ABS(D62)&lt;=E62,"OK","FAIL")</x:f>
        <x:v>OK</x:v>
      </x:c>
      <x:c r="G62" s="95"/>
      <x:c r="H62" s="95"/>
      <x:c r="I62" s="95"/>
      <x:c r="J62" s="95"/>
      <x:c r="K62" s="95"/>
      <x:c r="L62" s="95"/>
      <x:c r="M62" s="95"/>
      <x:c r="N62" s="95"/>
      <x:c r="O62" s="95"/>
      <x:c r="P62" s="95"/>
      <x:c r="Q62" s="95"/>
    </x:row>
    <x:row r="63">
      <x:c r="A63" s="95" t="str">
        <x:v>Total revenue ties</x:v>
      </x:c>
      <x:c r="B63" s="104" t="n">
        <x:f>G15</x:f>
        <x:v>3870</x:v>
      </x:c>
      <x:c r="C63" s="104" t="n">
        <x:f>G12+G14</x:f>
        <x:v>3870</x:v>
      </x:c>
      <x:c r="D63" s="104" t="n">
        <x:f>B63-C63</x:f>
        <x:v>0</x:v>
      </x:c>
      <x:c r="E63" s="104" t="n">
        <x:f>0.01</x:f>
        <x:v>0.01</x:v>
      </x:c>
      <x:c r="F63" s="95" t="str">
        <x:f>IF(ABS(D63)&lt;=E63,"OK","FAIL")</x:f>
        <x:v>OK</x:v>
      </x:c>
      <x:c r="G63" s="95"/>
      <x:c r="H63" s="95"/>
      <x:c r="I63" s="95"/>
      <x:c r="J63" s="95"/>
      <x:c r="K63" s="95"/>
      <x:c r="L63" s="95"/>
      <x:c r="M63" s="95"/>
      <x:c r="N63" s="95"/>
      <x:c r="O63" s="95"/>
      <x:c r="P63" s="95"/>
      <x:c r="Q63" s="95"/>
    </x:row>
    <x:row r="64">
      <x:c r="A64" s="95" t="str">
        <x:v>Operating profit reconciles</x:v>
      </x:c>
      <x:c r="B64" s="104" t="n">
        <x:f>G38</x:f>
        <x:v>3490.68</x:v>
      </x:c>
      <x:c r="C64" s="104" t="n">
        <x:f>G24-G37</x:f>
        <x:v>3490.68</x:v>
      </x:c>
      <x:c r="D64" s="104" t="n">
        <x:f>B64-C64</x:f>
        <x:v>0</x:v>
      </x:c>
      <x:c r="E64" s="104" t="n">
        <x:f>0.01</x:f>
        <x:v>0.01</x:v>
      </x:c>
      <x:c r="F64" s="95" t="str">
        <x:f>IF(ABS(D64)&lt;=E64,"OK","FAIL")</x:f>
        <x:v>OK</x:v>
      </x:c>
      <x:c r="G64" s="95"/>
      <x:c r="H64" s="95"/>
      <x:c r="I64" s="95"/>
      <x:c r="J64" s="95"/>
      <x:c r="K64" s="95"/>
      <x:c r="L64" s="95"/>
      <x:c r="M64" s="95"/>
      <x:c r="N64" s="95"/>
      <x:c r="O64" s="95"/>
      <x:c r="P64" s="95"/>
      <x:c r="Q64" s="95"/>
    </x:row>
    <x:row r="65">
      <x:c r="A65" s="95" t="str">
        <x:v>Ending cash reconciles</x:v>
      </x:c>
      <x:c r="B65" s="104" t="n">
        <x:f>G56</x:f>
        <x:v>3490.68</x:v>
      </x:c>
      <x:c r="C65" s="104" t="n">
        <x:f>G38-G50</x:f>
        <x:v>3490.68</x:v>
      </x:c>
      <x:c r="D65" s="104" t="n">
        <x:f>B65-C65</x:f>
        <x:v>0</x:v>
      </x:c>
      <x:c r="E65" s="104" t="n">
        <x:f>0.01</x:f>
        <x:v>0.01</x:v>
      </x:c>
      <x:c r="F65" s="95" t="str">
        <x:f>IF(ABS(D65)&lt;=E65,"OK","FAIL")</x:f>
        <x:v>OK</x:v>
      </x:c>
      <x:c r="G65" s="95"/>
      <x:c r="H65" s="95"/>
      <x:c r="I65" s="95"/>
      <x:c r="J65" s="95"/>
      <x:c r="K65" s="95"/>
      <x:c r="L65" s="95"/>
      <x:c r="M65" s="95"/>
      <x:c r="N65" s="95"/>
      <x:c r="O65" s="95"/>
      <x:c r="P65" s="95"/>
      <x:c r="Q65" s="95"/>
    </x:row>
    <x:row r="66">
      <x:c r="A66" s="95" t="str">
        <x:v>Future revenue placeholders default to zero</x:v>
      </x:c>
      <x:c r="B66" s="104" t="n">
        <x:f>G14+G22</x:f>
        <x:v>0</x:v>
      </x:c>
      <x:c r="C66" s="104" t="n">
        <x:f>0</x:f>
        <x:v>0</x:v>
      </x:c>
      <x:c r="D66" s="104" t="n">
        <x:f>B66-C66</x:f>
        <x:v>0</x:v>
      </x:c>
      <x:c r="E66" s="104" t="n">
        <x:f>0.01</x:f>
        <x:v>0.01</x:v>
      </x:c>
      <x:c r="F66" s="95" t="str">
        <x:f>IF(ABS(D66)&lt;=E66,"OK","FAIL")</x:f>
        <x:v>OK</x:v>
      </x:c>
      <x:c r="G66" s="95"/>
      <x:c r="H66" s="95"/>
      <x:c r="I66" s="95"/>
      <x:c r="J66" s="95"/>
      <x:c r="K66" s="95"/>
      <x:c r="L66" s="95"/>
      <x:c r="M66" s="95"/>
      <x:c r="N66" s="95"/>
      <x:c r="O66" s="95"/>
      <x:c r="P66" s="95"/>
      <x:c r="Q66" s="95"/>
    </x:row>
  </x:sheetData>
  <x:mergeCells>
    <x:mergeCell ref="A1:Q1"/>
    <x:mergeCell ref="A2:Q2"/>
    <x:mergeCell ref="A4:D4"/>
    <x:mergeCell ref="A5:D6"/>
    <x:mergeCell ref="E4:H4"/>
    <x:mergeCell ref="E5:H6"/>
    <x:mergeCell ref="I4:L4"/>
    <x:mergeCell ref="I5:L6"/>
    <x:mergeCell ref="M4:Q4"/>
    <x:mergeCell ref="M5:Q6"/>
    <x:mergeCell ref="A8:H8"/>
    <x:mergeCell ref="A41:H41"/>
    <x:mergeCell ref="A43:H43"/>
    <x:mergeCell ref="A52:H52"/>
    <x:mergeCell ref="J28:M28"/>
    <x:mergeCell ref="J38:M38"/>
    <x:mergeCell ref="A60:H60"/>
  </x:mergeCells>
  <x:conditionalFormatting sqref="F62:F66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  <x:drawing xmlns:r="http://schemas.openxmlformats.org/officeDocument/2006/relationships" r:id="Rf6998a8566a348e3"/>
  <x:legacyDrawing xmlns:r="http://schemas.openxmlformats.org/officeDocument/2006/relationships" r:id="R96202dead26a4ba0"/>
</x:worksheet>
</file>